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Python\"/>
    </mc:Choice>
  </mc:AlternateContent>
  <xr:revisionPtr revIDLastSave="0" documentId="13_ncr:1_{B9795C3D-197F-4B0E-9CC8-7CDD4969429C}" xr6:coauthVersionLast="47" xr6:coauthVersionMax="47" xr10:uidLastSave="{00000000-0000-0000-0000-000000000000}"/>
  <bookViews>
    <workbookView xWindow="-108" yWindow="-108" windowWidth="23256" windowHeight="12576" xr2:uid="{F97D0B52-7FC3-4C65-9BF0-78A6F6C7D872}"/>
  </bookViews>
  <sheets>
    <sheet name="Sheet1" sheetId="1" r:id="rId1"/>
    <sheet name="Sheet2" sheetId="2" r:id="rId2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 a="1"/>
  <c r="H7" i="1" s="1"/>
  <c r="H2" i="1"/>
  <c r="I2" i="1" s="1"/>
  <c r="E9" i="1"/>
  <c r="E11" i="1"/>
  <c r="E13" i="1"/>
  <c r="E15" i="1"/>
  <c r="E20" i="1"/>
  <c r="E23" i="1"/>
  <c r="E27" i="1"/>
  <c r="E14" i="1"/>
  <c r="E28" i="1"/>
  <c r="E30" i="1"/>
  <c r="E33" i="1"/>
  <c r="E10" i="1"/>
  <c r="E22" i="1"/>
  <c r="E34" i="1"/>
  <c r="E21" i="1"/>
  <c r="E35" i="1"/>
  <c r="E36" i="1"/>
  <c r="E2" i="1"/>
  <c r="E29" i="1"/>
  <c r="E3" i="1"/>
  <c r="E7" i="1"/>
  <c r="E37" i="1"/>
  <c r="E38" i="1"/>
  <c r="E24" i="1"/>
  <c r="E5" i="1"/>
  <c r="E39" i="1"/>
  <c r="E4" i="1"/>
  <c r="E40" i="1"/>
  <c r="E41" i="1"/>
  <c r="E42" i="1"/>
  <c r="E6" i="1"/>
  <c r="E43" i="1"/>
  <c r="E45" i="1"/>
  <c r="E46" i="1"/>
  <c r="E48" i="1"/>
  <c r="E50" i="1"/>
  <c r="E52" i="1"/>
  <c r="E55" i="1"/>
  <c r="E58" i="1"/>
  <c r="E53" i="1"/>
  <c r="E59" i="1"/>
  <c r="E61" i="1"/>
  <c r="E62" i="1"/>
  <c r="E65" i="1"/>
  <c r="E49" i="1"/>
  <c r="E68" i="1"/>
  <c r="E94" i="1"/>
  <c r="E70" i="1"/>
  <c r="E71" i="1"/>
  <c r="E73" i="1"/>
  <c r="E74" i="1"/>
  <c r="E77" i="1"/>
  <c r="E80" i="1"/>
  <c r="E18" i="1"/>
  <c r="E78" i="1"/>
  <c r="E84" i="1"/>
  <c r="E85" i="1"/>
  <c r="E86" i="1"/>
  <c r="E87" i="1"/>
  <c r="E89" i="1"/>
  <c r="E25" i="1"/>
  <c r="E88" i="1"/>
  <c r="E93" i="1"/>
  <c r="E64" i="1"/>
  <c r="E97" i="1"/>
  <c r="E98" i="1"/>
  <c r="E99" i="1"/>
  <c r="E100" i="1"/>
  <c r="E31" i="1"/>
  <c r="E103" i="1"/>
  <c r="E105" i="1"/>
  <c r="E106" i="1"/>
  <c r="E69" i="1"/>
  <c r="E51" i="1"/>
  <c r="E82" i="1"/>
  <c r="E109" i="1"/>
  <c r="E75" i="1"/>
  <c r="E110" i="1"/>
  <c r="E111" i="1"/>
  <c r="E108" i="1"/>
  <c r="E113" i="1"/>
  <c r="E114" i="1"/>
  <c r="E117" i="1"/>
  <c r="E56" i="1"/>
  <c r="E91" i="1"/>
  <c r="E115" i="1"/>
  <c r="E118" i="1"/>
  <c r="E120" i="1"/>
  <c r="E116" i="1"/>
  <c r="E122" i="1"/>
  <c r="E124" i="1"/>
  <c r="E127" i="1"/>
  <c r="E129" i="1"/>
  <c r="E126" i="1"/>
  <c r="E63" i="1"/>
  <c r="E96" i="1"/>
  <c r="E125" i="1"/>
  <c r="E128" i="1"/>
  <c r="E132" i="1"/>
  <c r="E121" i="1"/>
  <c r="E131" i="1"/>
  <c r="E119" i="1"/>
  <c r="E133" i="1"/>
  <c r="E104" i="1"/>
  <c r="E137" i="1"/>
  <c r="E135" i="1"/>
  <c r="E134" i="1"/>
  <c r="E136" i="1"/>
  <c r="E130" i="1"/>
  <c r="E140" i="1"/>
  <c r="E44" i="1"/>
  <c r="E138" i="1"/>
  <c r="E141" i="1"/>
  <c r="E142" i="1"/>
  <c r="E95" i="1"/>
  <c r="E143" i="1"/>
  <c r="E144" i="1"/>
  <c r="E139" i="1"/>
  <c r="E146" i="1"/>
  <c r="E47" i="1"/>
  <c r="E147" i="1"/>
  <c r="E67" i="1"/>
  <c r="E148" i="1"/>
  <c r="E149" i="1"/>
  <c r="E107" i="1"/>
  <c r="E150" i="1"/>
  <c r="E151" i="1"/>
  <c r="E154" i="1"/>
  <c r="E54" i="1"/>
  <c r="E155" i="1"/>
  <c r="E76" i="1"/>
  <c r="E156" i="1"/>
  <c r="E158" i="1"/>
  <c r="E152" i="1"/>
  <c r="E159" i="1"/>
  <c r="E57" i="1"/>
  <c r="E162" i="1"/>
  <c r="E163" i="1"/>
  <c r="E164" i="1"/>
  <c r="E166" i="1"/>
  <c r="E160" i="1"/>
  <c r="E19" i="1"/>
  <c r="E168" i="1"/>
  <c r="E169" i="1"/>
  <c r="E170" i="1"/>
  <c r="E171" i="1"/>
  <c r="E172" i="1"/>
  <c r="E167" i="1"/>
  <c r="E26" i="1"/>
  <c r="E157" i="1"/>
  <c r="E173" i="1"/>
  <c r="E174" i="1"/>
  <c r="E175" i="1"/>
  <c r="E176" i="1"/>
  <c r="E90" i="1"/>
  <c r="E178" i="1"/>
  <c r="E32" i="1"/>
  <c r="E165" i="1"/>
  <c r="E179" i="1"/>
  <c r="E17" i="1"/>
  <c r="E180" i="1"/>
  <c r="E181" i="1"/>
  <c r="E102" i="1"/>
  <c r="E182" i="1"/>
  <c r="E81" i="1"/>
  <c r="E177" i="1"/>
  <c r="E12" i="1"/>
  <c r="E184" i="1"/>
  <c r="E185" i="1"/>
  <c r="E101" i="1"/>
  <c r="E183" i="1"/>
  <c r="E16" i="1"/>
  <c r="E186" i="1"/>
  <c r="E187" i="1"/>
  <c r="E153" i="1"/>
  <c r="E112" i="1"/>
  <c r="E145" i="1"/>
  <c r="E188" i="1"/>
  <c r="E189" i="1"/>
  <c r="E123" i="1"/>
  <c r="E161" i="1"/>
  <c r="E190" i="1"/>
  <c r="E79" i="1"/>
  <c r="E191" i="1"/>
  <c r="E60" i="1"/>
  <c r="E192" i="1"/>
  <c r="E66" i="1"/>
  <c r="E193" i="1"/>
  <c r="E194" i="1"/>
  <c r="E195" i="1"/>
  <c r="E196" i="1"/>
  <c r="E197" i="1"/>
  <c r="E198" i="1"/>
  <c r="E199" i="1"/>
  <c r="E200" i="1"/>
  <c r="E72" i="1"/>
  <c r="E83" i="1"/>
  <c r="E92" i="1"/>
  <c r="E201" i="1"/>
  <c r="E8" i="1"/>
  <c r="J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<sst xmlns="http://schemas.openxmlformats.org/spreadsheetml/2006/main" count="508" uniqueCount="305">
  <si>
    <t>Movie Title</t>
  </si>
  <si>
    <t>Total Gross</t>
  </si>
  <si>
    <t>A Minecraft Movie</t>
  </si>
  <si>
    <t>Lilo &amp; Stitch</t>
  </si>
  <si>
    <t>Superman</t>
  </si>
  <si>
    <t>Jurassic World: Rebirth</t>
  </si>
  <si>
    <t>Sinners</t>
  </si>
  <si>
    <t>How to Train Your Dragon</t>
  </si>
  <si>
    <t>The Fantastic Four: First Steps</t>
  </si>
  <si>
    <t>Captain America: Brave New World</t>
  </si>
  <si>
    <t>Mission: Impossible - The Final Reckoning</t>
  </si>
  <si>
    <t>Thunderbolts*</t>
  </si>
  <si>
    <t>F1: The Movie</t>
  </si>
  <si>
    <t>Final Destination: Bloodlines</t>
  </si>
  <si>
    <t>Dog Man</t>
  </si>
  <si>
    <t>Snow White</t>
  </si>
  <si>
    <t>Elio</t>
  </si>
  <si>
    <t>28 Years Later</t>
  </si>
  <si>
    <t>The Accountant 2</t>
  </si>
  <si>
    <t>The King of Kings</t>
  </si>
  <si>
    <t>Ballerina</t>
  </si>
  <si>
    <t>Karate Kid: Legends</t>
  </si>
  <si>
    <t>One of Them Days</t>
  </si>
  <si>
    <t>Mickey 17</t>
  </si>
  <si>
    <t>Paddington in Peru</t>
  </si>
  <si>
    <t>The Bad Guys 2</t>
  </si>
  <si>
    <t>Weapons</t>
  </si>
  <si>
    <t>The Amateur</t>
  </si>
  <si>
    <t>The Monkey</t>
  </si>
  <si>
    <t>A Working Man</t>
  </si>
  <si>
    <t>Materialists</t>
  </si>
  <si>
    <t>Den of Thieves: Pantera</t>
  </si>
  <si>
    <t>Star Wars: Episode III - Revenge of the Sith20th anniversary</t>
  </si>
  <si>
    <t>The Naked Gun</t>
  </si>
  <si>
    <t>Heart Eyes</t>
  </si>
  <si>
    <t>Smurfs</t>
  </si>
  <si>
    <t>I Know What You Did Last Summer</t>
  </si>
  <si>
    <t>Flight Risk</t>
  </si>
  <si>
    <t>Freakier Friday</t>
  </si>
  <si>
    <t>Warfare</t>
  </si>
  <si>
    <t>M3GAN 2.0</t>
  </si>
  <si>
    <t>The Woman in the Yard</t>
  </si>
  <si>
    <t>Black Bag</t>
  </si>
  <si>
    <t>Death of a Unicorn</t>
  </si>
  <si>
    <t>Last Breath</t>
  </si>
  <si>
    <t>Ne Zha II</t>
  </si>
  <si>
    <t>Companion</t>
  </si>
  <si>
    <t>Wolf Man</t>
  </si>
  <si>
    <t>The Chosen: Last Supper</t>
  </si>
  <si>
    <t>Until Dawn</t>
  </si>
  <si>
    <t>Novocaine</t>
  </si>
  <si>
    <t>The Phoenician Scheme</t>
  </si>
  <si>
    <t>Bring Her Back</t>
  </si>
  <si>
    <t>Together</t>
  </si>
  <si>
    <t>Drop</t>
  </si>
  <si>
    <t>Friendship</t>
  </si>
  <si>
    <t>Love Hurts</t>
  </si>
  <si>
    <t>The Last Rodeo</t>
  </si>
  <si>
    <t>The Chosen: Last Supper Part 2</t>
  </si>
  <si>
    <t>The Chosen: Last Supper Part 3</t>
  </si>
  <si>
    <t>Becoming Led Zeppelin</t>
  </si>
  <si>
    <t>Eddington</t>
  </si>
  <si>
    <t>The Day the Earth Blew Up: A Looney Tunes Movie</t>
  </si>
  <si>
    <t>Clown in a Cornfield</t>
  </si>
  <si>
    <t>Presence</t>
  </si>
  <si>
    <t>Princess Mononoke4K Restoration</t>
  </si>
  <si>
    <t>The Life of Chuck</t>
  </si>
  <si>
    <t>The Last Supper</t>
  </si>
  <si>
    <t>The Unbreakable Boy</t>
  </si>
  <si>
    <t>I'm Still Here</t>
  </si>
  <si>
    <t>Pride &amp; Prejudice20th Anniversary Re-Release</t>
  </si>
  <si>
    <t>The Alto Knights</t>
  </si>
  <si>
    <t>Dan Da Dan: Evil Eye</t>
  </si>
  <si>
    <t>Hurry Up Tomorrow</t>
  </si>
  <si>
    <t>Sketch</t>
  </si>
  <si>
    <t>Brave the Dark</t>
  </si>
  <si>
    <t>The Friend</t>
  </si>
  <si>
    <t>Shadow Force</t>
  </si>
  <si>
    <t>Colorful Stage! The Movie: A Miku Who Can't Sing</t>
  </si>
  <si>
    <t>Chhaava</t>
  </si>
  <si>
    <t>Fight or Flight</t>
  </si>
  <si>
    <t>The Penguin Lessons</t>
  </si>
  <si>
    <t>2025 Oscar Nominated Short Films: Live Action</t>
  </si>
  <si>
    <t>JUJUTSU KAISEN: Hidden Inventory/Premature Death - The Movie</t>
  </si>
  <si>
    <t>Hell of a Summer</t>
  </si>
  <si>
    <t>Rule Breakers</t>
  </si>
  <si>
    <t>Attack on Titan the Movie: The Last Attack</t>
  </si>
  <si>
    <t>Dangerous Animals</t>
  </si>
  <si>
    <t>Pink Floyd: Live at Pompeii2025 Re-release</t>
  </si>
  <si>
    <t>No Other Land</t>
  </si>
  <si>
    <t>The Legend of Ochi</t>
  </si>
  <si>
    <t>Sorry, Baby</t>
  </si>
  <si>
    <t>Detective Chinatown 1900</t>
  </si>
  <si>
    <t>DogmaDogma: Resurrected! A 25th Anniversary Celebration</t>
  </si>
  <si>
    <t>The Wedding Banquet</t>
  </si>
  <si>
    <t>Game Changer</t>
  </si>
  <si>
    <t>Oh, Hi!</t>
  </si>
  <si>
    <t>Opus</t>
  </si>
  <si>
    <t>Jane Austen Wrecked My Life</t>
  </si>
  <si>
    <t>In the Lost Lands</t>
  </si>
  <si>
    <t>Riff Raff</t>
  </si>
  <si>
    <t>Night of the Zoopocalypse</t>
  </si>
  <si>
    <t>Creation of the Gods II: Demon Force</t>
  </si>
  <si>
    <t>Kuberaa</t>
  </si>
  <si>
    <t>Green and Gold</t>
  </si>
  <si>
    <t>Locked</t>
  </si>
  <si>
    <t>The Ballad of Wallis Island</t>
  </si>
  <si>
    <t>The Home</t>
  </si>
  <si>
    <t>Saiyaara</t>
  </si>
  <si>
    <t>The Damned</t>
  </si>
  <si>
    <t>The Surfer</t>
  </si>
  <si>
    <t>My Dead Friend Zoe</t>
  </si>
  <si>
    <t>Valiant One</t>
  </si>
  <si>
    <t>Mobile Suit Gundam GQuuuuuuX: Beginning</t>
  </si>
  <si>
    <t>Magazine Dreams</t>
  </si>
  <si>
    <t>Housefull 5</t>
  </si>
  <si>
    <t>Ash</t>
  </si>
  <si>
    <t>This Is Spinal Tap41st Anniversary</t>
  </si>
  <si>
    <t>Brokeback Mountain20th anniversary</t>
  </si>
  <si>
    <t>On Swift Horses</t>
  </si>
  <si>
    <t>The Unholy Trinity</t>
  </si>
  <si>
    <t>HIT: The 3rd Case</t>
  </si>
  <si>
    <t>Sneaks</t>
  </si>
  <si>
    <t>Seven2025 Re-release</t>
  </si>
  <si>
    <t>A Nice Indian Boy</t>
  </si>
  <si>
    <t>Rosario</t>
  </si>
  <si>
    <t>Secret Mall Apartment</t>
  </si>
  <si>
    <t>Hard Truths</t>
  </si>
  <si>
    <t>Cleaner</t>
  </si>
  <si>
    <t>Guru Nanak Jahaz</t>
  </si>
  <si>
    <t>j-hope Tour 'Hope on the Stage' in Japan: Live Viewing</t>
  </si>
  <si>
    <t>40 Acres</t>
  </si>
  <si>
    <t>The Shrouds</t>
  </si>
  <si>
    <t>Cheech &amp; Chong's Last Movie</t>
  </si>
  <si>
    <t>The American Miracle</t>
  </si>
  <si>
    <t>Sing Sing2025 Re-release</t>
  </si>
  <si>
    <t>Sacramento</t>
  </si>
  <si>
    <t>CatVideoFest 2025</t>
  </si>
  <si>
    <t>In the Mood for Love25th Anniversary</t>
  </si>
  <si>
    <t>Legends of the Condor Heroes: The Gallants</t>
  </si>
  <si>
    <t>Queen of the Ring</t>
  </si>
  <si>
    <t>Don't Let's Go to the Dogs Tonight</t>
  </si>
  <si>
    <t>The Colors Within</t>
  </si>
  <si>
    <t>Bob Trevino Likes It</t>
  </si>
  <si>
    <t>The Encampments</t>
  </si>
  <si>
    <t>The Ritual</t>
  </si>
  <si>
    <t>Eephus</t>
  </si>
  <si>
    <t>Kaiju No. 8: Mission Recon</t>
  </si>
  <si>
    <t>My Love Will Make You Disappear</t>
  </si>
  <si>
    <t>Parasite2025 Re-release</t>
  </si>
  <si>
    <t>Raising the Bar: The Alma Richards Story</t>
  </si>
  <si>
    <t>Juliet &amp; Romeo</t>
  </si>
  <si>
    <t>House on Eden</t>
  </si>
  <si>
    <t>The Rule of Jenny Pen</t>
  </si>
  <si>
    <t>The Luckiest Man in America</t>
  </si>
  <si>
    <t>My Mother's Wedding</t>
  </si>
  <si>
    <t>It's Never Over, Jeff Buckley</t>
  </si>
  <si>
    <t>The Prosecutor</t>
  </si>
  <si>
    <t>One to One: John &amp; Yoko</t>
  </si>
  <si>
    <t>Demon Slayer: Kimetsu no Yaiba - The Movie: Mugen Train2025 Re-release</t>
  </si>
  <si>
    <t>Love Me</t>
  </si>
  <si>
    <t>Pavements</t>
  </si>
  <si>
    <t>Nothing But a Winner</t>
  </si>
  <si>
    <t>Bring Them Down</t>
  </si>
  <si>
    <t>UFC Countdown: UFC 311 Countdown: Makhachev vs. Tsarukyan 2</t>
  </si>
  <si>
    <t>A Sloth Story</t>
  </si>
  <si>
    <t>The Ugly Stepsister</t>
  </si>
  <si>
    <t>Caught by the Tides</t>
  </si>
  <si>
    <t>Tomatometer Score</t>
  </si>
  <si>
    <t>On Becoming a Guinea Fowl</t>
  </si>
  <si>
    <t>Souleymane's Story</t>
  </si>
  <si>
    <t>Vulcanizadora</t>
  </si>
  <si>
    <t>Familiar Touch</t>
  </si>
  <si>
    <t>Black Dog</t>
  </si>
  <si>
    <t>Sister Midnight</t>
  </si>
  <si>
    <t>When Fall Is Coming</t>
  </si>
  <si>
    <t>KPop Demon Hunters</t>
  </si>
  <si>
    <t>Twinless</t>
  </si>
  <si>
    <t>Predator: Killer of Killers</t>
  </si>
  <si>
    <t>Misericordia</t>
  </si>
  <si>
    <t>Architecton</t>
  </si>
  <si>
    <t>Sew Torn</t>
  </si>
  <si>
    <t>Sovereign</t>
  </si>
  <si>
    <t>April</t>
  </si>
  <si>
    <t>Sharp Corner</t>
  </si>
  <si>
    <t>Final Destination Bloodlines</t>
  </si>
  <si>
    <t>Julie Keeps Quiet</t>
  </si>
  <si>
    <t>Cloud</t>
  </si>
  <si>
    <t>Grand Tour</t>
  </si>
  <si>
    <t>Deep Cover</t>
  </si>
  <si>
    <t>Bridget Jones: Mad About the Boy</t>
  </si>
  <si>
    <t>Superboys of Malegaon</t>
  </si>
  <si>
    <t>She Rides Shotgun</t>
  </si>
  <si>
    <t>Only the River Flows</t>
  </si>
  <si>
    <t>The Assessment</t>
  </si>
  <si>
    <t>F1 The Movie</t>
  </si>
  <si>
    <t>Nonnas</t>
  </si>
  <si>
    <t>Unicorns</t>
  </si>
  <si>
    <t>Gazer</t>
  </si>
  <si>
    <t>A Traveler's Needs</t>
  </si>
  <si>
    <t>The New Boy</t>
  </si>
  <si>
    <t>Seven Veils</t>
  </si>
  <si>
    <t>I Love My Dad</t>
  </si>
  <si>
    <t>Armand</t>
  </si>
  <si>
    <t>Shirley</t>
  </si>
  <si>
    <t>Mountainhead</t>
  </si>
  <si>
    <t>Movie Name</t>
  </si>
  <si>
    <t>Release Date</t>
  </si>
  <si>
    <t>-</t>
  </si>
  <si>
    <t>Autumn and the Black Jaguar</t>
  </si>
  <si>
    <t>Peppa Meets the Baby Cinema Experience</t>
  </si>
  <si>
    <t>Parthenope</t>
  </si>
  <si>
    <t>The Last Class</t>
  </si>
  <si>
    <t>UFC 316: Dvalishvili vs. O'Malley 2 in COSM Shared Reality</t>
  </si>
  <si>
    <t>I Don't Understand You</t>
  </si>
  <si>
    <t>Wolf Children2025 Re-release (4K Restoration)</t>
  </si>
  <si>
    <t>Bonjour Tristesse</t>
  </si>
  <si>
    <t>Summer Wars2025 Re-release (4K Restoration)</t>
  </si>
  <si>
    <t>Peter Pan's Neverland Nightmare</t>
  </si>
  <si>
    <t>Strange Harvest</t>
  </si>
  <si>
    <t>Liza: A Truly Terrific Absolutely True Story</t>
  </si>
  <si>
    <t>Turnstile: Never Enough</t>
  </si>
  <si>
    <t>Sardaar Ji 3</t>
  </si>
  <si>
    <t>Happy Gilmore2025 Re-release</t>
  </si>
  <si>
    <t>Universal Language</t>
  </si>
  <si>
    <t>Tornado</t>
  </si>
  <si>
    <t>Abraham's Boys</t>
  </si>
  <si>
    <t>Every Little Thing</t>
  </si>
  <si>
    <t>Pariah25th anniversary</t>
  </si>
  <si>
    <t>Inheritance</t>
  </si>
  <si>
    <t>#Single</t>
  </si>
  <si>
    <t>Ex-Husbands</t>
  </si>
  <si>
    <t>What If...15th Anniversary</t>
  </si>
  <si>
    <t>There's Still Tomorrow</t>
  </si>
  <si>
    <t>Ran40th anniversary</t>
  </si>
  <si>
    <t>Utshob</t>
  </si>
  <si>
    <t>Brothers After War</t>
  </si>
  <si>
    <t>Bambi: The Reckoning</t>
  </si>
  <si>
    <t>Lilly</t>
  </si>
  <si>
    <t>Distributor</t>
  </si>
  <si>
    <t>Warner Bros.</t>
  </si>
  <si>
    <t>Walt Disney Studios Motion Pictures</t>
  </si>
  <si>
    <t>Universal Pictures</t>
  </si>
  <si>
    <t>Universal Pictures International (UPI)</t>
  </si>
  <si>
    <t>Paramount Pictures International</t>
  </si>
  <si>
    <t>Sony Pictures Releasing</t>
  </si>
  <si>
    <t>Amazon MGM Studios</t>
  </si>
  <si>
    <t>Angel</t>
  </si>
  <si>
    <t>Lionsgate</t>
  </si>
  <si>
    <t>20th Century Studios</t>
  </si>
  <si>
    <t>Neon</t>
  </si>
  <si>
    <t>A24</t>
  </si>
  <si>
    <t>Focus Features</t>
  </si>
  <si>
    <t>CMC Pictures</t>
  </si>
  <si>
    <t>Screen Gems</t>
  </si>
  <si>
    <t>Sony Pictures Classics</t>
  </si>
  <si>
    <t>Ketchup Entertainment</t>
  </si>
  <si>
    <t>RLJ Entertainment</t>
  </si>
  <si>
    <t>GKIDS</t>
  </si>
  <si>
    <t>Yash Raj Films</t>
  </si>
  <si>
    <t>Bleecker Street Media</t>
  </si>
  <si>
    <t>Vertical Entertainment</t>
  </si>
  <si>
    <t>Yash Raj Films USA Inc.</t>
  </si>
  <si>
    <t>ShortsTV</t>
  </si>
  <si>
    <t>IFC Films</t>
  </si>
  <si>
    <t>Trafalgar Releasing</t>
  </si>
  <si>
    <t>Iconic Events Releasing</t>
  </si>
  <si>
    <t>Viva Pictures</t>
  </si>
  <si>
    <t>Shloka Entertainments</t>
  </si>
  <si>
    <t>Roadside Attractions</t>
  </si>
  <si>
    <t>Well Go USA Entertainment</t>
  </si>
  <si>
    <t>Prathyangira Cinemas</t>
  </si>
  <si>
    <t>Fathom Events</t>
  </si>
  <si>
    <t>The Avenue Entertainment</t>
  </si>
  <si>
    <t>Briarcliff Entertainment</t>
  </si>
  <si>
    <t>Shudder</t>
  </si>
  <si>
    <t>Blue Harbor Entertainment</t>
  </si>
  <si>
    <t>Mucho Mas Media</t>
  </si>
  <si>
    <t>Wheelhouse Creative</t>
  </si>
  <si>
    <t>Quiver Distribution</t>
  </si>
  <si>
    <t>Magnolia Pictures</t>
  </si>
  <si>
    <t>Sideshow Releasing</t>
  </si>
  <si>
    <t>Oscilloscope</t>
  </si>
  <si>
    <t>Janus Films</t>
  </si>
  <si>
    <t>Sumerian Films</t>
  </si>
  <si>
    <t>Blue Fox Entertainment</t>
  </si>
  <si>
    <t>Watermelon Pictures</t>
  </si>
  <si>
    <t>XYZ Films</t>
  </si>
  <si>
    <t>Music Box Films</t>
  </si>
  <si>
    <t>Crunchyroll</t>
  </si>
  <si>
    <t>Abramorama</t>
  </si>
  <si>
    <t>IMAX</t>
  </si>
  <si>
    <t>Utopia</t>
  </si>
  <si>
    <t>MUBI</t>
  </si>
  <si>
    <t>Greenwich Entertainment</t>
  </si>
  <si>
    <t>Zeitgeist Films</t>
  </si>
  <si>
    <t>Kino Lorber</t>
  </si>
  <si>
    <t>Indican Pictures</t>
  </si>
  <si>
    <t>Walt Disney Pictures</t>
  </si>
  <si>
    <t>Variance Films</t>
  </si>
  <si>
    <t>Rialto Distribution</t>
  </si>
  <si>
    <t>Swapna Scarecrow</t>
  </si>
  <si>
    <t>SDG Releasing</t>
  </si>
  <si>
    <t>Seismic Releasing</t>
  </si>
  <si>
    <t>Select Distributor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</si>
</sst>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[$-409]d\-mmm;@"/>
    <numFmt numFmtId="170" formatCode="_([$$-409]* #,##0_);_([$$-409]* \(#,##0\);_([$$-409]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rgb="FF0F11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6" fontId="0" fillId="0" borderId="0" xfId="0" applyNumberFormat="1"/>
    <xf numFmtId="16" fontId="0" fillId="0" borderId="0" xfId="0" applyNumberFormat="1"/>
    <xf numFmtId="9" fontId="0" fillId="0" borderId="0" xfId="0" applyNumberFormat="1"/>
    <xf numFmtId="9" fontId="0" fillId="0" borderId="0" xfId="2" applyFont="1" applyAlignment="1">
      <alignment horizontal="center"/>
    </xf>
    <xf numFmtId="44" fontId="0" fillId="0" borderId="0" xfId="1" applyFont="1"/>
    <xf numFmtId="164" fontId="0" fillId="0" borderId="0" xfId="0" applyNumberFormat="1"/>
    <xf numFmtId="164" fontId="0" fillId="0" borderId="0" xfId="1" applyNumberFormat="1" applyFont="1"/>
    <xf numFmtId="0" fontId="2" fillId="0" borderId="0" xfId="0" applyFont="1"/>
    <xf numFmtId="0" fontId="0" fillId="0" borderId="0" xfId="0" applyAlignment="1">
      <alignment wrapText="1"/>
    </xf>
    <xf numFmtId="170" fontId="0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21" formatCode="d\-mmm"/>
    </dxf>
    <dxf>
      <numFmt numFmtId="21" formatCode="d\-mmm"/>
    </dxf>
    <dxf>
      <numFmt numFmtId="10" formatCode="&quot;$&quot;#,##0_);[Red]\(&quot;$&quot;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B07300-1CCB-4940-9825-8023DA297D58}" name="Table1" displayName="Table1" ref="A1:E201" totalsRowShown="0">
  <autoFilter ref="A1:E201" xr:uid="{AEB07300-1CCB-4940-9825-8023DA297D58}"/>
  <sortState xmlns:xlrd2="http://schemas.microsoft.com/office/spreadsheetml/2017/richdata2" ref="A2:E201">
    <sortCondition descending="1" ref="B1:B201"/>
  </sortState>
  <tableColumns count="5">
    <tableColumn id="1" xr3:uid="{874EE4BC-CCF6-46E1-B87E-70AA6D1D63B8}" name="Movie Title"/>
    <tableColumn id="2" xr3:uid="{5A3C044E-E1DA-4448-8611-BC88A4EAE1B2}" name="Total Gross" dataDxfId="5"/>
    <tableColumn id="4" xr3:uid="{3088474C-5154-4A78-84D3-2FBB6347A6B7}" name="Release Date" dataDxfId="4"/>
    <tableColumn id="5" xr3:uid="{F5AD38C6-A732-4FC1-84AB-C2B6FD3407CE}" name="Distributor" dataDxfId="3"/>
    <tableColumn id="3" xr3:uid="{8991A21D-B299-40B4-BD94-E066A40312E6}" name="Tomatometer Score" dataDxfId="2" dataCellStyle="Percent">
      <calculatedColumnFormula>IFERROR(VLOOKUP(A2,Sheet2!A:B,2,),"Not in top 100")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EE4F3-C201-450F-827C-09216AF7F73C}">
  <sheetPr codeName="Sheet1"/>
  <dimension ref="A1:J201"/>
  <sheetViews>
    <sheetView tabSelected="1" topLeftCell="C1" workbookViewId="0">
      <selection activeCell="H20" sqref="H20"/>
    </sheetView>
  </sheetViews>
  <sheetFormatPr defaultRowHeight="14.4" x14ac:dyDescent="0.3"/>
  <cols>
    <col min="1" max="1" width="60.6640625" bestFit="1" customWidth="1"/>
    <col min="2" max="2" width="12.6640625" bestFit="1" customWidth="1"/>
    <col min="3" max="3" width="14" style="6" bestFit="1" customWidth="1"/>
    <col min="4" max="4" width="30.6640625" style="6" bestFit="1" customWidth="1"/>
    <col min="5" max="5" width="22" style="4" bestFit="1" customWidth="1"/>
    <col min="7" max="7" width="16.109375" customWidth="1"/>
    <col min="8" max="8" width="15.88671875" bestFit="1" customWidth="1"/>
    <col min="9" max="9" width="18" bestFit="1" customWidth="1"/>
    <col min="10" max="10" width="16.88671875" bestFit="1" customWidth="1"/>
    <col min="11" max="11" width="11.5546875" bestFit="1" customWidth="1"/>
    <col min="12" max="12" width="18.88671875" bestFit="1" customWidth="1"/>
  </cols>
  <sheetData>
    <row r="1" spans="1:10" x14ac:dyDescent="0.3">
      <c r="A1" t="s">
        <v>0</v>
      </c>
      <c r="B1" t="s">
        <v>1</v>
      </c>
      <c r="C1" s="6" t="s">
        <v>207</v>
      </c>
      <c r="D1" s="6" t="s">
        <v>239</v>
      </c>
      <c r="E1" s="4" t="s">
        <v>168</v>
      </c>
      <c r="G1" t="s">
        <v>206</v>
      </c>
      <c r="H1" t="s">
        <v>1</v>
      </c>
      <c r="I1" t="s">
        <v>207</v>
      </c>
      <c r="J1" s="4" t="s">
        <v>168</v>
      </c>
    </row>
    <row r="2" spans="1:10" x14ac:dyDescent="0.3">
      <c r="A2" t="s">
        <v>2</v>
      </c>
      <c r="B2" s="1">
        <v>423949195</v>
      </c>
      <c r="C2" s="2">
        <v>45751</v>
      </c>
      <c r="D2" t="s">
        <v>240</v>
      </c>
      <c r="E2" s="4" t="str">
        <f>IFERROR(VLOOKUP(A2,Sheet2!A:B,2,),"Not in top 100")</f>
        <v>Not in top 100</v>
      </c>
      <c r="G2" t="s">
        <v>6</v>
      </c>
      <c r="H2" s="5">
        <f>_xlfn.XLOOKUP(G2,A:A,B:B,"Missing",0)</f>
        <v>278578513</v>
      </c>
      <c r="I2" s="7">
        <f>_xlfn.XLOOKUP(H2,B:B,C:C,"Missing",0)</f>
        <v>45765</v>
      </c>
      <c r="J2" s="4">
        <f>_xlfn.XLOOKUP(H2,B:B,E:E,"Missing",0)</f>
        <v>0.97</v>
      </c>
    </row>
    <row r="3" spans="1:10" x14ac:dyDescent="0.3">
      <c r="A3" t="s">
        <v>3</v>
      </c>
      <c r="B3" s="1">
        <v>421665000</v>
      </c>
      <c r="C3" s="2">
        <v>45800</v>
      </c>
      <c r="D3" t="s">
        <v>241</v>
      </c>
      <c r="E3" s="4" t="str">
        <f>IFERROR(VLOOKUP(A3,Sheet2!A:B,2,),"Not in top 100")</f>
        <v>Not in top 100</v>
      </c>
    </row>
    <row r="4" spans="1:10" x14ac:dyDescent="0.3">
      <c r="A4" t="s">
        <v>4</v>
      </c>
      <c r="B4" s="1">
        <v>334753133</v>
      </c>
      <c r="C4" s="2">
        <v>45849</v>
      </c>
      <c r="D4" t="s">
        <v>240</v>
      </c>
      <c r="E4" s="4">
        <f>IFERROR(VLOOKUP(A4,Sheet2!A:B,2,),"Not in top 100")</f>
        <v>0.83</v>
      </c>
    </row>
    <row r="5" spans="1:10" x14ac:dyDescent="0.3">
      <c r="A5" t="s">
        <v>5</v>
      </c>
      <c r="B5" s="1">
        <v>328794725</v>
      </c>
      <c r="C5" s="2">
        <v>45840</v>
      </c>
      <c r="D5" t="s">
        <v>242</v>
      </c>
      <c r="E5" s="4" t="str">
        <f>IFERROR(VLOOKUP(A5,Sheet2!A:B,2,),"Not in top 100")</f>
        <v>Not in top 100</v>
      </c>
    </row>
    <row r="6" spans="1:10" x14ac:dyDescent="0.3">
      <c r="A6" t="s">
        <v>6</v>
      </c>
      <c r="B6" s="1">
        <v>278578513</v>
      </c>
      <c r="C6" s="2">
        <v>45765</v>
      </c>
      <c r="D6" t="s">
        <v>240</v>
      </c>
      <c r="E6" s="4">
        <f>IFERROR(VLOOKUP(A6,Sheet2!A:B,2,),"Not in top 100")</f>
        <v>0.97</v>
      </c>
    </row>
    <row r="7" spans="1:10" x14ac:dyDescent="0.3">
      <c r="A7" t="s">
        <v>7</v>
      </c>
      <c r="B7" s="1">
        <v>261828975</v>
      </c>
      <c r="C7" s="2">
        <v>45821</v>
      </c>
      <c r="D7" t="s">
        <v>243</v>
      </c>
      <c r="E7" s="4">
        <f>IFERROR(VLOOKUP(A7,Sheet2!A:B,2,),"Not in top 100")</f>
        <v>0.76</v>
      </c>
      <c r="G7" s="8" t="s">
        <v>304</v>
      </c>
      <c r="H7" s="9" t="str" cm="1">
        <f t="array" ref="H7:I8">_xlfn.GROUPBY(Table1[[#All],[Distributor]],Table1[[#All],[Total Gross]],_xleta.SUM,3,0,,Table1[[#All],[Distributor]]=G8)</f>
        <v>Distributor</v>
      </c>
      <c r="I7" s="5" t="str">
        <v>Total Gross</v>
      </c>
    </row>
    <row r="8" spans="1:10" x14ac:dyDescent="0.3">
      <c r="A8" t="s">
        <v>8</v>
      </c>
      <c r="B8" s="1">
        <v>236748181</v>
      </c>
      <c r="C8" s="2">
        <v>45863</v>
      </c>
      <c r="D8" t="s">
        <v>241</v>
      </c>
      <c r="E8" s="4">
        <f>IFERROR(VLOOKUP(A8,Sheet2!A:B,2,),"Not in top 100")</f>
        <v>0.86</v>
      </c>
      <c r="G8" s="9" t="s">
        <v>240</v>
      </c>
      <c r="H8" s="9" t="str">
        <v>Warner Bros.</v>
      </c>
      <c r="I8" s="10">
        <v>1489105631</v>
      </c>
    </row>
    <row r="9" spans="1:10" x14ac:dyDescent="0.3">
      <c r="A9" t="s">
        <v>9</v>
      </c>
      <c r="B9" s="1">
        <v>200500001</v>
      </c>
      <c r="C9" s="2">
        <v>45702</v>
      </c>
      <c r="D9" t="s">
        <v>241</v>
      </c>
      <c r="E9" s="4" t="str">
        <f>IFERROR(VLOOKUP(A9,Sheet2!A:B,2,),"Not in top 100")</f>
        <v>Not in top 100</v>
      </c>
      <c r="I9" s="5"/>
    </row>
    <row r="10" spans="1:10" x14ac:dyDescent="0.3">
      <c r="A10" t="s">
        <v>10</v>
      </c>
      <c r="B10" s="1">
        <v>197400368</v>
      </c>
      <c r="C10" s="2">
        <v>45800</v>
      </c>
      <c r="D10" t="s">
        <v>244</v>
      </c>
      <c r="E10" s="4">
        <f>IFERROR(VLOOKUP(A10,Sheet2!A:B,2,),"Not in top 100")</f>
        <v>0.8</v>
      </c>
    </row>
    <row r="11" spans="1:10" x14ac:dyDescent="0.3">
      <c r="A11" t="s">
        <v>11</v>
      </c>
      <c r="B11" s="1">
        <v>190274328</v>
      </c>
      <c r="C11" s="2">
        <v>45779</v>
      </c>
      <c r="D11" t="s">
        <v>241</v>
      </c>
      <c r="E11" s="4">
        <f>IFERROR(VLOOKUP(A11,Sheet2!A:B,2,),"Not in top 100")</f>
        <v>0.88</v>
      </c>
    </row>
    <row r="12" spans="1:10" x14ac:dyDescent="0.3">
      <c r="A12" t="s">
        <v>12</v>
      </c>
      <c r="B12" s="1">
        <v>179849656</v>
      </c>
      <c r="C12" s="2">
        <v>45835</v>
      </c>
      <c r="D12" t="s">
        <v>240</v>
      </c>
      <c r="E12" s="4" t="str">
        <f>IFERROR(VLOOKUP(A12,Sheet2!A:B,2,),"Not in top 100")</f>
        <v>Not in top 100</v>
      </c>
    </row>
    <row r="13" spans="1:10" x14ac:dyDescent="0.3">
      <c r="A13" t="s">
        <v>13</v>
      </c>
      <c r="B13" s="1">
        <v>138130814</v>
      </c>
      <c r="C13" s="2">
        <v>45793</v>
      </c>
      <c r="D13" t="s">
        <v>240</v>
      </c>
      <c r="E13" s="4" t="str">
        <f>IFERROR(VLOOKUP(A13,Sheet2!A:B,2,),"Not in top 100")</f>
        <v>Not in top 100</v>
      </c>
    </row>
    <row r="14" spans="1:10" x14ac:dyDescent="0.3">
      <c r="A14" t="s">
        <v>14</v>
      </c>
      <c r="B14" s="1">
        <v>97970355</v>
      </c>
      <c r="C14" s="2">
        <v>45688</v>
      </c>
      <c r="D14" t="s">
        <v>242</v>
      </c>
      <c r="E14" s="4">
        <f>IFERROR(VLOOKUP(A14,Sheet2!A:B,2,),"Not in top 100")</f>
        <v>0.81</v>
      </c>
    </row>
    <row r="15" spans="1:10" x14ac:dyDescent="0.3">
      <c r="A15" t="s">
        <v>15</v>
      </c>
      <c r="B15" s="1">
        <v>87203963</v>
      </c>
      <c r="C15" s="2">
        <v>45737</v>
      </c>
      <c r="D15" t="s">
        <v>241</v>
      </c>
      <c r="E15" s="4" t="str">
        <f>IFERROR(VLOOKUP(A15,Sheet2!A:B,2,),"Not in top 100")</f>
        <v>Not in top 100</v>
      </c>
    </row>
    <row r="16" spans="1:10" x14ac:dyDescent="0.3">
      <c r="A16" t="s">
        <v>16</v>
      </c>
      <c r="B16" s="1">
        <v>72836842</v>
      </c>
      <c r="C16" s="2">
        <v>45828</v>
      </c>
      <c r="D16" t="s">
        <v>241</v>
      </c>
      <c r="E16" s="4">
        <f>IFERROR(VLOOKUP(A16,Sheet2!A:B,2,),"Not in top 100")</f>
        <v>0.83</v>
      </c>
    </row>
    <row r="17" spans="1:5" x14ac:dyDescent="0.3">
      <c r="A17" t="s">
        <v>17</v>
      </c>
      <c r="B17" s="1">
        <v>70367300</v>
      </c>
      <c r="C17" s="2">
        <v>45828</v>
      </c>
      <c r="D17" t="s">
        <v>245</v>
      </c>
      <c r="E17" s="4">
        <f>IFERROR(VLOOKUP(A17,Sheet2!A:B,2,),"Not in top 100")</f>
        <v>0.88</v>
      </c>
    </row>
    <row r="18" spans="1:5" x14ac:dyDescent="0.3">
      <c r="A18" t="s">
        <v>18</v>
      </c>
      <c r="B18" s="1">
        <v>65523366</v>
      </c>
      <c r="C18" s="2">
        <v>45772</v>
      </c>
      <c r="D18" t="s">
        <v>246</v>
      </c>
      <c r="E18" s="4">
        <f>IFERROR(VLOOKUP(A18,Sheet2!A:B,2,),"Not in top 100")</f>
        <v>0.76</v>
      </c>
    </row>
    <row r="19" spans="1:5" x14ac:dyDescent="0.3">
      <c r="A19" t="s">
        <v>19</v>
      </c>
      <c r="B19" s="1">
        <v>60270106</v>
      </c>
      <c r="C19" s="2">
        <v>45758</v>
      </c>
      <c r="D19" t="s">
        <v>247</v>
      </c>
      <c r="E19" s="4" t="str">
        <f>IFERROR(VLOOKUP(A19,Sheet2!A:B,2,),"Not in top 100")</f>
        <v>Not in top 100</v>
      </c>
    </row>
    <row r="20" spans="1:5" x14ac:dyDescent="0.3">
      <c r="A20" t="s">
        <v>26</v>
      </c>
      <c r="B20" s="1">
        <v>59969408</v>
      </c>
      <c r="C20" s="2">
        <v>45877</v>
      </c>
      <c r="D20" t="s">
        <v>240</v>
      </c>
      <c r="E20" s="4">
        <f>IFERROR(VLOOKUP(A20,Sheet2!A:B,2,),"Not in top 100")</f>
        <v>0.94</v>
      </c>
    </row>
    <row r="21" spans="1:5" x14ac:dyDescent="0.3">
      <c r="A21" t="s">
        <v>20</v>
      </c>
      <c r="B21" s="1">
        <v>58051327</v>
      </c>
      <c r="C21" s="2">
        <v>45814</v>
      </c>
      <c r="D21" t="s">
        <v>248</v>
      </c>
      <c r="E21" s="4" t="str">
        <f>IFERROR(VLOOKUP(A21,Sheet2!A:B,2,),"Not in top 100")</f>
        <v>Not in top 100</v>
      </c>
    </row>
    <row r="22" spans="1:5" x14ac:dyDescent="0.3">
      <c r="A22" t="s">
        <v>21</v>
      </c>
      <c r="B22" s="1">
        <v>52547391</v>
      </c>
      <c r="C22" s="2">
        <v>45807</v>
      </c>
      <c r="D22" t="s">
        <v>245</v>
      </c>
      <c r="E22" s="4" t="str">
        <f>IFERROR(VLOOKUP(A22,Sheet2!A:B,2,),"Not in top 100")</f>
        <v>Not in top 100</v>
      </c>
    </row>
    <row r="23" spans="1:5" x14ac:dyDescent="0.3">
      <c r="A23" t="s">
        <v>22</v>
      </c>
      <c r="B23" s="1">
        <v>50054690</v>
      </c>
      <c r="C23" s="2">
        <v>45674</v>
      </c>
      <c r="D23" t="s">
        <v>245</v>
      </c>
      <c r="E23" s="4">
        <f>IFERROR(VLOOKUP(A23,Sheet2!A:B,2,),"Not in top 100")</f>
        <v>0.94</v>
      </c>
    </row>
    <row r="24" spans="1:5" x14ac:dyDescent="0.3">
      <c r="A24" t="s">
        <v>25</v>
      </c>
      <c r="B24" s="1">
        <v>48572840</v>
      </c>
      <c r="C24" s="2">
        <v>45870</v>
      </c>
      <c r="D24" t="s">
        <v>242</v>
      </c>
      <c r="E24" s="4">
        <f>IFERROR(VLOOKUP(A24,Sheet2!A:B,2,),"Not in top 100")</f>
        <v>0.87</v>
      </c>
    </row>
    <row r="25" spans="1:5" x14ac:dyDescent="0.3">
      <c r="A25" t="s">
        <v>23</v>
      </c>
      <c r="B25" s="1">
        <v>46047147</v>
      </c>
      <c r="C25" s="2">
        <v>45723</v>
      </c>
      <c r="D25" t="s">
        <v>240</v>
      </c>
      <c r="E25" s="4">
        <f>IFERROR(VLOOKUP(A25,Sheet2!A:B,2,),"Not in top 100")</f>
        <v>0.77</v>
      </c>
    </row>
    <row r="26" spans="1:5" x14ac:dyDescent="0.3">
      <c r="A26" t="s">
        <v>24</v>
      </c>
      <c r="B26" s="1">
        <v>45770312</v>
      </c>
      <c r="C26" s="2">
        <v>45702</v>
      </c>
      <c r="D26" t="s">
        <v>245</v>
      </c>
      <c r="E26" s="4">
        <f>IFERROR(VLOOKUP(A26,Sheet2!A:B,2,),"Not in top 100")</f>
        <v>0.93</v>
      </c>
    </row>
    <row r="27" spans="1:5" x14ac:dyDescent="0.3">
      <c r="A27" t="s">
        <v>27</v>
      </c>
      <c r="B27" s="1">
        <v>40759635</v>
      </c>
      <c r="C27" s="2">
        <v>45758</v>
      </c>
      <c r="D27" t="s">
        <v>249</v>
      </c>
      <c r="E27" s="4" t="str">
        <f>IFERROR(VLOOKUP(A27,Sheet2!A:B,2,),"Not in top 100")</f>
        <v>Not in top 100</v>
      </c>
    </row>
    <row r="28" spans="1:5" x14ac:dyDescent="0.3">
      <c r="A28" t="s">
        <v>28</v>
      </c>
      <c r="B28" s="1">
        <v>39724909</v>
      </c>
      <c r="C28" s="2">
        <v>45709</v>
      </c>
      <c r="D28" t="s">
        <v>250</v>
      </c>
      <c r="E28" s="4" t="str">
        <f>IFERROR(VLOOKUP(A28,Sheet2!A:B,2,),"Not in top 100")</f>
        <v>Not in top 100</v>
      </c>
    </row>
    <row r="29" spans="1:5" x14ac:dyDescent="0.3">
      <c r="A29" t="s">
        <v>38</v>
      </c>
      <c r="B29" s="1">
        <v>38113586</v>
      </c>
      <c r="C29" s="2">
        <v>45877</v>
      </c>
      <c r="D29" t="s">
        <v>241</v>
      </c>
      <c r="E29" s="4">
        <f>IFERROR(VLOOKUP(A29,Sheet2!A:B,2,),"Not in top 100")</f>
        <v>0.73</v>
      </c>
    </row>
    <row r="30" spans="1:5" x14ac:dyDescent="0.3">
      <c r="A30" t="s">
        <v>29</v>
      </c>
      <c r="B30" s="1">
        <v>37000711</v>
      </c>
      <c r="C30" s="2">
        <v>45744</v>
      </c>
      <c r="D30" t="s">
        <v>246</v>
      </c>
      <c r="E30" s="4" t="str">
        <f>IFERROR(VLOOKUP(A30,Sheet2!A:B,2,),"Not in top 100")</f>
        <v>Not in top 100</v>
      </c>
    </row>
    <row r="31" spans="1:5" x14ac:dyDescent="0.3">
      <c r="A31" t="s">
        <v>30</v>
      </c>
      <c r="B31" s="1">
        <v>36484440</v>
      </c>
      <c r="C31" s="2">
        <v>45821</v>
      </c>
      <c r="D31" t="s">
        <v>251</v>
      </c>
      <c r="E31" s="4">
        <f>IFERROR(VLOOKUP(A31,Sheet2!A:B,2,),"Not in top 100")</f>
        <v>0.79</v>
      </c>
    </row>
    <row r="32" spans="1:5" x14ac:dyDescent="0.3">
      <c r="A32" t="s">
        <v>33</v>
      </c>
      <c r="B32" s="1">
        <v>36311443</v>
      </c>
      <c r="C32" s="2">
        <v>45870</v>
      </c>
      <c r="D32" t="s">
        <v>244</v>
      </c>
      <c r="E32" s="4">
        <f>IFERROR(VLOOKUP(A32,Sheet2!A:B,2,),"Not in top 100")</f>
        <v>0.88</v>
      </c>
    </row>
    <row r="33" spans="1:5" x14ac:dyDescent="0.3">
      <c r="A33" t="s">
        <v>31</v>
      </c>
      <c r="B33" s="1">
        <v>36015016</v>
      </c>
      <c r="C33" s="2">
        <v>45667</v>
      </c>
      <c r="D33" t="s">
        <v>248</v>
      </c>
      <c r="E33" s="4" t="str">
        <f>IFERROR(VLOOKUP(A33,Sheet2!A:B,2,),"Not in top 100")</f>
        <v>Not in top 100</v>
      </c>
    </row>
    <row r="34" spans="1:5" x14ac:dyDescent="0.3">
      <c r="A34" t="s">
        <v>32</v>
      </c>
      <c r="B34" s="1">
        <v>34107714</v>
      </c>
      <c r="C34" s="2">
        <v>45772</v>
      </c>
      <c r="D34" t="s">
        <v>241</v>
      </c>
      <c r="E34" s="4" t="str">
        <f>IFERROR(VLOOKUP(A34,Sheet2!A:B,2,),"Not in top 100")</f>
        <v>Not in top 100</v>
      </c>
    </row>
    <row r="35" spans="1:5" x14ac:dyDescent="0.3">
      <c r="A35" t="s">
        <v>35</v>
      </c>
      <c r="B35" s="1">
        <v>30599503</v>
      </c>
      <c r="C35" s="2">
        <v>45856</v>
      </c>
      <c r="D35" t="s">
        <v>244</v>
      </c>
      <c r="E35" s="4" t="str">
        <f>IFERROR(VLOOKUP(A35,Sheet2!A:B,2,),"Not in top 100")</f>
        <v>Not in top 100</v>
      </c>
    </row>
    <row r="36" spans="1:5" x14ac:dyDescent="0.3">
      <c r="A36" t="s">
        <v>34</v>
      </c>
      <c r="B36" s="1">
        <v>30415738</v>
      </c>
      <c r="C36" s="2">
        <v>45695</v>
      </c>
      <c r="D36" t="s">
        <v>244</v>
      </c>
      <c r="E36" s="4">
        <f>IFERROR(VLOOKUP(A36,Sheet2!A:B,2,),"Not in top 100")</f>
        <v>0.78</v>
      </c>
    </row>
    <row r="37" spans="1:5" x14ac:dyDescent="0.3">
      <c r="A37" t="s">
        <v>37</v>
      </c>
      <c r="B37" s="1">
        <v>29783527</v>
      </c>
      <c r="C37" s="2">
        <v>45681</v>
      </c>
      <c r="D37" t="s">
        <v>248</v>
      </c>
      <c r="E37" s="4" t="str">
        <f>IFERROR(VLOOKUP(A37,Sheet2!A:B,2,),"Not in top 100")</f>
        <v>Not in top 100</v>
      </c>
    </row>
    <row r="38" spans="1:5" x14ac:dyDescent="0.3">
      <c r="A38" t="s">
        <v>36</v>
      </c>
      <c r="B38" s="1">
        <v>29268554</v>
      </c>
      <c r="C38" s="2">
        <v>45856</v>
      </c>
      <c r="D38" t="s">
        <v>245</v>
      </c>
      <c r="E38" s="4" t="str">
        <f>IFERROR(VLOOKUP(A38,Sheet2!A:B,2,),"Not in top 100")</f>
        <v>Not in top 100</v>
      </c>
    </row>
    <row r="39" spans="1:5" x14ac:dyDescent="0.3">
      <c r="A39" t="s">
        <v>39</v>
      </c>
      <c r="B39" s="1">
        <v>26000309</v>
      </c>
      <c r="C39" s="2">
        <v>45758</v>
      </c>
      <c r="D39" t="s">
        <v>251</v>
      </c>
      <c r="E39" s="4">
        <f>IFERROR(VLOOKUP(A39,Sheet2!A:B,2,),"Not in top 100")</f>
        <v>0.93</v>
      </c>
    </row>
    <row r="40" spans="1:5" x14ac:dyDescent="0.3">
      <c r="A40" t="s">
        <v>40</v>
      </c>
      <c r="B40" s="1">
        <v>24101280</v>
      </c>
      <c r="C40" s="2">
        <v>45835</v>
      </c>
      <c r="D40" t="s">
        <v>242</v>
      </c>
      <c r="E40" s="4" t="str">
        <f>IFERROR(VLOOKUP(A40,Sheet2!A:B,2,),"Not in top 100")</f>
        <v>Not in top 100</v>
      </c>
    </row>
    <row r="41" spans="1:5" x14ac:dyDescent="0.3">
      <c r="A41" t="s">
        <v>41</v>
      </c>
      <c r="B41" s="1">
        <v>22405985</v>
      </c>
      <c r="C41" s="2">
        <v>45744</v>
      </c>
      <c r="D41" t="s">
        <v>242</v>
      </c>
      <c r="E41" s="4" t="str">
        <f>IFERROR(VLOOKUP(A41,Sheet2!A:B,2,),"Not in top 100")</f>
        <v>Not in top 100</v>
      </c>
    </row>
    <row r="42" spans="1:5" x14ac:dyDescent="0.3">
      <c r="A42" t="s">
        <v>42</v>
      </c>
      <c r="B42" s="1">
        <v>21474035</v>
      </c>
      <c r="C42" s="2">
        <v>45730</v>
      </c>
      <c r="D42" t="s">
        <v>252</v>
      </c>
      <c r="E42" s="4">
        <f>IFERROR(VLOOKUP(A42,Sheet2!A:B,2,),"Not in top 100")</f>
        <v>0.96</v>
      </c>
    </row>
    <row r="43" spans="1:5" x14ac:dyDescent="0.3">
      <c r="A43" t="s">
        <v>44</v>
      </c>
      <c r="B43" s="1">
        <v>21051180</v>
      </c>
      <c r="C43" s="2">
        <v>45716</v>
      </c>
      <c r="D43" t="s">
        <v>252</v>
      </c>
      <c r="E43" s="4">
        <f>IFERROR(VLOOKUP(A43,Sheet2!A:B,2,),"Not in top 100")</f>
        <v>0.78</v>
      </c>
    </row>
    <row r="44" spans="1:5" x14ac:dyDescent="0.3">
      <c r="A44" t="s">
        <v>45</v>
      </c>
      <c r="B44" s="1">
        <v>20858156</v>
      </c>
      <c r="C44" s="2">
        <v>45702</v>
      </c>
      <c r="D44" t="s">
        <v>253</v>
      </c>
      <c r="E44" s="4" t="str">
        <f>IFERROR(VLOOKUP(A44,Sheet2!A:B,2,),"Not in top 100")</f>
        <v>Not in top 100</v>
      </c>
    </row>
    <row r="45" spans="1:5" x14ac:dyDescent="0.3">
      <c r="A45" t="s">
        <v>46</v>
      </c>
      <c r="B45" s="1">
        <v>20809101</v>
      </c>
      <c r="C45" s="2">
        <v>45688</v>
      </c>
      <c r="D45" t="s">
        <v>240</v>
      </c>
      <c r="E45" s="4">
        <f>IFERROR(VLOOKUP(A45,Sheet2!A:B,2,),"Not in top 100")</f>
        <v>0.93</v>
      </c>
    </row>
    <row r="46" spans="1:5" x14ac:dyDescent="0.3">
      <c r="A46" t="s">
        <v>47</v>
      </c>
      <c r="B46" s="1">
        <v>20707280</v>
      </c>
      <c r="C46" s="2">
        <v>45674</v>
      </c>
      <c r="D46" t="s">
        <v>242</v>
      </c>
      <c r="E46" s="4" t="str">
        <f>IFERROR(VLOOKUP(A46,Sheet2!A:B,2,),"Not in top 100")</f>
        <v>Not in top 100</v>
      </c>
    </row>
    <row r="47" spans="1:5" x14ac:dyDescent="0.3">
      <c r="A47" t="s">
        <v>48</v>
      </c>
      <c r="B47" s="1">
        <v>20257290</v>
      </c>
      <c r="C47" s="2">
        <v>45744</v>
      </c>
      <c r="D47" t="s">
        <v>208</v>
      </c>
      <c r="E47" s="4" t="str">
        <f>IFERROR(VLOOKUP(A47,Sheet2!A:B,2,),"Not in top 100")</f>
        <v>Not in top 100</v>
      </c>
    </row>
    <row r="48" spans="1:5" x14ac:dyDescent="0.3">
      <c r="A48" t="s">
        <v>49</v>
      </c>
      <c r="B48" s="1">
        <v>20172192</v>
      </c>
      <c r="C48" s="2">
        <v>45772</v>
      </c>
      <c r="D48" t="s">
        <v>254</v>
      </c>
      <c r="E48" s="4" t="str">
        <f>IFERROR(VLOOKUP(A48,Sheet2!A:B,2,),"Not in top 100")</f>
        <v>Not in top 100</v>
      </c>
    </row>
    <row r="49" spans="1:5" x14ac:dyDescent="0.3">
      <c r="A49" t="s">
        <v>50</v>
      </c>
      <c r="B49" s="1">
        <v>19861854</v>
      </c>
      <c r="C49" s="2">
        <v>45730</v>
      </c>
      <c r="D49" t="s">
        <v>244</v>
      </c>
      <c r="E49" s="4">
        <f>IFERROR(VLOOKUP(A49,Sheet2!A:B,2,),"Not in top 100")</f>
        <v>0.8</v>
      </c>
    </row>
    <row r="50" spans="1:5" x14ac:dyDescent="0.3">
      <c r="A50" t="s">
        <v>51</v>
      </c>
      <c r="B50" s="1">
        <v>19555015</v>
      </c>
      <c r="C50" s="2">
        <v>45807</v>
      </c>
      <c r="D50" t="s">
        <v>252</v>
      </c>
      <c r="E50" s="4">
        <f>IFERROR(VLOOKUP(A50,Sheet2!A:B,2,),"Not in top 100")</f>
        <v>0.78</v>
      </c>
    </row>
    <row r="51" spans="1:5" x14ac:dyDescent="0.3">
      <c r="A51" t="s">
        <v>52</v>
      </c>
      <c r="B51" s="1">
        <v>19323752</v>
      </c>
      <c r="C51" s="2">
        <v>45807</v>
      </c>
      <c r="D51" t="s">
        <v>251</v>
      </c>
      <c r="E51" s="4">
        <f>IFERROR(VLOOKUP(A51,Sheet2!A:B,2,),"Not in top 100")</f>
        <v>0.89</v>
      </c>
    </row>
    <row r="52" spans="1:5" x14ac:dyDescent="0.3">
      <c r="A52" t="s">
        <v>53</v>
      </c>
      <c r="B52" s="1">
        <v>18367984</v>
      </c>
      <c r="C52" s="2">
        <v>45868</v>
      </c>
      <c r="D52" t="s">
        <v>250</v>
      </c>
      <c r="E52" s="4">
        <f>IFERROR(VLOOKUP(A52,Sheet2!A:B,2,),"Not in top 100")</f>
        <v>0.9</v>
      </c>
    </row>
    <row r="53" spans="1:5" x14ac:dyDescent="0.3">
      <c r="A53" t="s">
        <v>54</v>
      </c>
      <c r="B53" s="1">
        <v>16600805</v>
      </c>
      <c r="C53" s="2">
        <v>45758</v>
      </c>
      <c r="D53" t="s">
        <v>243</v>
      </c>
      <c r="E53" s="4">
        <f>IFERROR(VLOOKUP(A53,Sheet2!A:B,2,),"Not in top 100")</f>
        <v>0.83</v>
      </c>
    </row>
    <row r="54" spans="1:5" x14ac:dyDescent="0.3">
      <c r="A54" t="s">
        <v>55</v>
      </c>
      <c r="B54" s="1">
        <v>16228274</v>
      </c>
      <c r="C54" s="2">
        <v>45786</v>
      </c>
      <c r="D54" t="s">
        <v>251</v>
      </c>
      <c r="E54" s="4">
        <f>IFERROR(VLOOKUP(A54,Sheet2!A:B,2,),"Not in top 100")</f>
        <v>0.88</v>
      </c>
    </row>
    <row r="55" spans="1:5" x14ac:dyDescent="0.3">
      <c r="A55" t="s">
        <v>56</v>
      </c>
      <c r="B55" s="1">
        <v>15683090</v>
      </c>
      <c r="C55" s="2">
        <v>45695</v>
      </c>
      <c r="D55" t="s">
        <v>242</v>
      </c>
      <c r="E55" s="4" t="str">
        <f>IFERROR(VLOOKUP(A55,Sheet2!A:B,2,),"Not in top 100")</f>
        <v>Not in top 100</v>
      </c>
    </row>
    <row r="56" spans="1:5" x14ac:dyDescent="0.3">
      <c r="A56" t="s">
        <v>57</v>
      </c>
      <c r="B56" s="1">
        <v>15201659</v>
      </c>
      <c r="C56" s="2">
        <v>45800</v>
      </c>
      <c r="D56" t="s">
        <v>247</v>
      </c>
      <c r="E56" s="4" t="str">
        <f>IFERROR(VLOOKUP(A56,Sheet2!A:B,2,),"Not in top 100")</f>
        <v>Not in top 100</v>
      </c>
    </row>
    <row r="57" spans="1:5" x14ac:dyDescent="0.3">
      <c r="A57" t="s">
        <v>43</v>
      </c>
      <c r="B57" s="1">
        <v>12899252</v>
      </c>
      <c r="C57" s="2">
        <v>45744</v>
      </c>
      <c r="D57" t="s">
        <v>251</v>
      </c>
      <c r="E57" s="4" t="str">
        <f>IFERROR(VLOOKUP(A57,Sheet2!A:B,2,),"Not in top 100")</f>
        <v>Not in top 100</v>
      </c>
    </row>
    <row r="58" spans="1:5" x14ac:dyDescent="0.3">
      <c r="A58" t="s">
        <v>58</v>
      </c>
      <c r="B58" s="1">
        <v>12372228</v>
      </c>
      <c r="C58" s="2">
        <v>45751</v>
      </c>
      <c r="D58" t="s">
        <v>208</v>
      </c>
      <c r="E58" s="4" t="str">
        <f>IFERROR(VLOOKUP(A58,Sheet2!A:B,2,),"Not in top 100")</f>
        <v>Not in top 100</v>
      </c>
    </row>
    <row r="59" spans="1:5" x14ac:dyDescent="0.3">
      <c r="A59" t="s">
        <v>59</v>
      </c>
      <c r="B59" s="1">
        <v>11742410</v>
      </c>
      <c r="C59" s="2">
        <v>45758</v>
      </c>
      <c r="D59" t="s">
        <v>208</v>
      </c>
      <c r="E59" s="4" t="str">
        <f>IFERROR(VLOOKUP(A59,Sheet2!A:B,2,),"Not in top 100")</f>
        <v>Not in top 100</v>
      </c>
    </row>
    <row r="60" spans="1:5" x14ac:dyDescent="0.3">
      <c r="A60" t="s">
        <v>60</v>
      </c>
      <c r="B60" s="1">
        <v>10403353</v>
      </c>
      <c r="C60" s="2">
        <v>45695</v>
      </c>
      <c r="D60" t="s">
        <v>255</v>
      </c>
      <c r="E60" s="4" t="str">
        <f>IFERROR(VLOOKUP(A60,Sheet2!A:B,2,),"Not in top 100")</f>
        <v>Not in top 100</v>
      </c>
    </row>
    <row r="61" spans="1:5" x14ac:dyDescent="0.3">
      <c r="A61" t="s">
        <v>61</v>
      </c>
      <c r="B61" s="1">
        <v>9840324</v>
      </c>
      <c r="C61" s="2">
        <v>45856</v>
      </c>
      <c r="D61" t="s">
        <v>251</v>
      </c>
      <c r="E61" s="4" t="str">
        <f>IFERROR(VLOOKUP(A61,Sheet2!A:B,2,),"Not in top 100")</f>
        <v>Not in top 100</v>
      </c>
    </row>
    <row r="62" spans="1:5" x14ac:dyDescent="0.3">
      <c r="A62" t="s">
        <v>62</v>
      </c>
      <c r="B62" s="1">
        <v>8875344</v>
      </c>
      <c r="C62" s="2">
        <v>45730</v>
      </c>
      <c r="D62" t="s">
        <v>256</v>
      </c>
      <c r="E62" s="4">
        <f>IFERROR(VLOOKUP(A62,Sheet2!A:B,2,),"Not in top 100")</f>
        <v>0.85</v>
      </c>
    </row>
    <row r="63" spans="1:5" x14ac:dyDescent="0.3">
      <c r="A63" t="s">
        <v>63</v>
      </c>
      <c r="B63" s="1">
        <v>7251799</v>
      </c>
      <c r="C63" s="2">
        <v>45786</v>
      </c>
      <c r="D63" t="s">
        <v>257</v>
      </c>
      <c r="E63" s="4">
        <f>IFERROR(VLOOKUP(A63,Sheet2!A:B,2,),"Not in top 100")</f>
        <v>0.73</v>
      </c>
    </row>
    <row r="64" spans="1:5" x14ac:dyDescent="0.3">
      <c r="A64" t="s">
        <v>64</v>
      </c>
      <c r="B64" s="1">
        <v>6900044</v>
      </c>
      <c r="C64" s="2">
        <v>45681</v>
      </c>
      <c r="D64" t="s">
        <v>250</v>
      </c>
      <c r="E64" s="4">
        <f>IFERROR(VLOOKUP(A64,Sheet2!A:B,2,),"Not in top 100")</f>
        <v>0.88</v>
      </c>
    </row>
    <row r="65" spans="1:5" x14ac:dyDescent="0.3">
      <c r="A65" t="s">
        <v>65</v>
      </c>
      <c r="B65" s="1">
        <v>6851056</v>
      </c>
      <c r="C65" s="2">
        <v>45744</v>
      </c>
      <c r="D65" t="s">
        <v>258</v>
      </c>
      <c r="E65" s="4" t="str">
        <f>IFERROR(VLOOKUP(A65,Sheet2!A:B,2,),"Not in top 100")</f>
        <v>Not in top 100</v>
      </c>
    </row>
    <row r="66" spans="1:5" x14ac:dyDescent="0.3">
      <c r="A66" t="s">
        <v>66</v>
      </c>
      <c r="B66" s="1">
        <v>6712600</v>
      </c>
      <c r="C66" s="2">
        <v>45814</v>
      </c>
      <c r="D66" t="s">
        <v>250</v>
      </c>
      <c r="E66" s="4">
        <f>IFERROR(VLOOKUP(A66,Sheet2!A:B,2,),"Not in top 100")</f>
        <v>0.81</v>
      </c>
    </row>
    <row r="67" spans="1:5" x14ac:dyDescent="0.3">
      <c r="A67" t="s">
        <v>67</v>
      </c>
      <c r="B67" s="1">
        <v>6564857</v>
      </c>
      <c r="C67" s="2">
        <v>45730</v>
      </c>
      <c r="D67" t="s">
        <v>208</v>
      </c>
      <c r="E67" s="4" t="str">
        <f>IFERROR(VLOOKUP(A67,Sheet2!A:B,2,),"Not in top 100")</f>
        <v>Not in top 100</v>
      </c>
    </row>
    <row r="68" spans="1:5" x14ac:dyDescent="0.3">
      <c r="A68" t="s">
        <v>68</v>
      </c>
      <c r="B68" s="1">
        <v>6443813</v>
      </c>
      <c r="C68" s="2">
        <v>45709</v>
      </c>
      <c r="D68" t="s">
        <v>248</v>
      </c>
      <c r="E68" s="4" t="str">
        <f>IFERROR(VLOOKUP(A68,Sheet2!A:B,2,),"Not in top 100")</f>
        <v>Not in top 100</v>
      </c>
    </row>
    <row r="69" spans="1:5" x14ac:dyDescent="0.3">
      <c r="A69" t="s">
        <v>69</v>
      </c>
      <c r="B69" s="1">
        <v>6233517</v>
      </c>
      <c r="C69" s="2">
        <v>45674</v>
      </c>
      <c r="D69" t="s">
        <v>255</v>
      </c>
      <c r="E69" s="4">
        <f>IFERROR(VLOOKUP(A69,Sheet2!A:B,2,),"Not in top 100")</f>
        <v>0.97</v>
      </c>
    </row>
    <row r="70" spans="1:5" x14ac:dyDescent="0.3">
      <c r="A70" t="s">
        <v>70</v>
      </c>
      <c r="B70" s="1">
        <v>6193658</v>
      </c>
      <c r="C70" s="2">
        <v>45767</v>
      </c>
      <c r="D70" t="s">
        <v>252</v>
      </c>
      <c r="E70" s="4" t="str">
        <f>IFERROR(VLOOKUP(A70,Sheet2!A:B,2,),"Not in top 100")</f>
        <v>Not in top 100</v>
      </c>
    </row>
    <row r="71" spans="1:5" x14ac:dyDescent="0.3">
      <c r="A71" t="s">
        <v>71</v>
      </c>
      <c r="B71" s="1">
        <v>6103664</v>
      </c>
      <c r="C71" s="2">
        <v>45737</v>
      </c>
      <c r="D71" t="s">
        <v>240</v>
      </c>
      <c r="E71" s="4" t="str">
        <f>IFERROR(VLOOKUP(A71,Sheet2!A:B,2,),"Not in top 100")</f>
        <v>Not in top 100</v>
      </c>
    </row>
    <row r="72" spans="1:5" x14ac:dyDescent="0.3">
      <c r="A72" t="s">
        <v>74</v>
      </c>
      <c r="B72" s="1">
        <v>5883228</v>
      </c>
      <c r="C72" s="2">
        <v>45875</v>
      </c>
      <c r="D72" t="s">
        <v>247</v>
      </c>
      <c r="E72" s="4" t="str">
        <f>IFERROR(VLOOKUP(A72,Sheet2!A:B,2,),"Not in top 100")</f>
        <v>Not in top 100</v>
      </c>
    </row>
    <row r="73" spans="1:5" x14ac:dyDescent="0.3">
      <c r="A73" t="s">
        <v>72</v>
      </c>
      <c r="B73" s="1">
        <v>5637078</v>
      </c>
      <c r="C73" s="2">
        <v>45814</v>
      </c>
      <c r="D73" t="s">
        <v>258</v>
      </c>
      <c r="E73" s="4" t="str">
        <f>IFERROR(VLOOKUP(A73,Sheet2!A:B,2,),"Not in top 100")</f>
        <v>Not in top 100</v>
      </c>
    </row>
    <row r="74" spans="1:5" x14ac:dyDescent="0.3">
      <c r="A74" t="s">
        <v>73</v>
      </c>
      <c r="B74" s="1">
        <v>5215357</v>
      </c>
      <c r="C74" s="2">
        <v>45793</v>
      </c>
      <c r="D74" t="s">
        <v>248</v>
      </c>
      <c r="E74" s="4" t="str">
        <f>IFERROR(VLOOKUP(A74,Sheet2!A:B,2,),"Not in top 100")</f>
        <v>Not in top 100</v>
      </c>
    </row>
    <row r="75" spans="1:5" x14ac:dyDescent="0.3">
      <c r="A75" t="s">
        <v>79</v>
      </c>
      <c r="B75" s="1">
        <v>4800000</v>
      </c>
      <c r="C75" s="2">
        <v>45702</v>
      </c>
      <c r="D75" t="s">
        <v>259</v>
      </c>
      <c r="E75" s="4" t="str">
        <f>IFERROR(VLOOKUP(A75,Sheet2!A:B,2,),"Not in top 100")</f>
        <v>Not in top 100</v>
      </c>
    </row>
    <row r="76" spans="1:5" x14ac:dyDescent="0.3">
      <c r="A76" t="s">
        <v>75</v>
      </c>
      <c r="B76" s="1">
        <v>4525443</v>
      </c>
      <c r="C76" s="2">
        <v>45681</v>
      </c>
      <c r="D76" t="s">
        <v>247</v>
      </c>
      <c r="E76" s="4" t="str">
        <f>IFERROR(VLOOKUP(A76,Sheet2!A:B,2,),"Not in top 100")</f>
        <v>Not in top 100</v>
      </c>
    </row>
    <row r="77" spans="1:5" x14ac:dyDescent="0.3">
      <c r="A77" t="s">
        <v>76</v>
      </c>
      <c r="B77" s="1">
        <v>3941217</v>
      </c>
      <c r="C77" s="2">
        <v>45744</v>
      </c>
      <c r="D77" t="s">
        <v>260</v>
      </c>
      <c r="E77" s="4">
        <f>IFERROR(VLOOKUP(A77,Sheet2!A:B,2,),"Not in top 100")</f>
        <v>0.83</v>
      </c>
    </row>
    <row r="78" spans="1:5" x14ac:dyDescent="0.3">
      <c r="A78" t="s">
        <v>77</v>
      </c>
      <c r="B78" s="1">
        <v>3933483</v>
      </c>
      <c r="C78" s="2">
        <v>45786</v>
      </c>
      <c r="D78" t="s">
        <v>248</v>
      </c>
      <c r="E78" s="4" t="str">
        <f>IFERROR(VLOOKUP(A78,Sheet2!A:B,2,),"Not in top 100")</f>
        <v>Not in top 100</v>
      </c>
    </row>
    <row r="79" spans="1:5" x14ac:dyDescent="0.3">
      <c r="A79" t="s">
        <v>78</v>
      </c>
      <c r="B79" s="1">
        <v>3661284</v>
      </c>
      <c r="C79" s="2">
        <v>45765</v>
      </c>
      <c r="D79" t="s">
        <v>258</v>
      </c>
      <c r="E79" s="4" t="str">
        <f>IFERROR(VLOOKUP(A79,Sheet2!A:B,2,),"Not in top 100")</f>
        <v>Not in top 100</v>
      </c>
    </row>
    <row r="80" spans="1:5" x14ac:dyDescent="0.3">
      <c r="A80" t="s">
        <v>80</v>
      </c>
      <c r="B80" s="1">
        <v>3522025</v>
      </c>
      <c r="C80" s="2">
        <v>45786</v>
      </c>
      <c r="D80" t="s">
        <v>261</v>
      </c>
      <c r="E80" s="4">
        <f>IFERROR(VLOOKUP(A80,Sheet2!A:B,2,),"Not in top 100")</f>
        <v>0.76</v>
      </c>
    </row>
    <row r="81" spans="1:5" x14ac:dyDescent="0.3">
      <c r="A81" t="s">
        <v>108</v>
      </c>
      <c r="B81" s="1">
        <v>3359480</v>
      </c>
      <c r="C81" s="2">
        <v>45856</v>
      </c>
      <c r="D81" t="s">
        <v>262</v>
      </c>
      <c r="E81" s="4" t="str">
        <f>IFERROR(VLOOKUP(A81,Sheet2!A:B,2,),"Not in top 100")</f>
        <v>Not in top 100</v>
      </c>
    </row>
    <row r="82" spans="1:5" x14ac:dyDescent="0.3">
      <c r="A82" t="s">
        <v>81</v>
      </c>
      <c r="B82" s="1">
        <v>3294990</v>
      </c>
      <c r="C82" s="2">
        <v>45744</v>
      </c>
      <c r="D82" t="s">
        <v>255</v>
      </c>
      <c r="E82" s="4">
        <f>IFERROR(VLOOKUP(A82,Sheet2!A:B,2,),"Not in top 100")</f>
        <v>0.77</v>
      </c>
    </row>
    <row r="83" spans="1:5" x14ac:dyDescent="0.3">
      <c r="A83" t="s">
        <v>82</v>
      </c>
      <c r="B83" s="1">
        <v>3275477</v>
      </c>
      <c r="C83" s="2">
        <v>45702</v>
      </c>
      <c r="D83" t="s">
        <v>263</v>
      </c>
      <c r="E83" s="4" t="str">
        <f>IFERROR(VLOOKUP(A83,Sheet2!A:B,2,),"Not in top 100")</f>
        <v>Not in top 100</v>
      </c>
    </row>
    <row r="84" spans="1:5" x14ac:dyDescent="0.3">
      <c r="A84" t="s">
        <v>83</v>
      </c>
      <c r="B84" s="1">
        <v>3257365</v>
      </c>
      <c r="C84" s="2">
        <v>45854</v>
      </c>
      <c r="D84" t="s">
        <v>258</v>
      </c>
      <c r="E84" s="4" t="str">
        <f>IFERROR(VLOOKUP(A84,Sheet2!A:B,2,),"Not in top 100")</f>
        <v>Not in top 100</v>
      </c>
    </row>
    <row r="85" spans="1:5" x14ac:dyDescent="0.3">
      <c r="A85" t="s">
        <v>84</v>
      </c>
      <c r="B85" s="1">
        <v>3182678</v>
      </c>
      <c r="C85" s="2">
        <v>45751</v>
      </c>
      <c r="D85" t="s">
        <v>250</v>
      </c>
      <c r="E85" s="4" t="str">
        <f>IFERROR(VLOOKUP(A85,Sheet2!A:B,2,),"Not in top 100")</f>
        <v>Not in top 100</v>
      </c>
    </row>
    <row r="86" spans="1:5" x14ac:dyDescent="0.3">
      <c r="A86" t="s">
        <v>85</v>
      </c>
      <c r="B86" s="1">
        <v>2969825</v>
      </c>
      <c r="C86" s="2">
        <v>45723</v>
      </c>
      <c r="D86" t="s">
        <v>247</v>
      </c>
      <c r="E86" s="4" t="str">
        <f>IFERROR(VLOOKUP(A86,Sheet2!A:B,2,),"Not in top 100")</f>
        <v>Not in top 100</v>
      </c>
    </row>
    <row r="87" spans="1:5" x14ac:dyDescent="0.3">
      <c r="A87" t="s">
        <v>86</v>
      </c>
      <c r="B87" s="1">
        <v>2890192</v>
      </c>
      <c r="C87" s="2">
        <v>45698</v>
      </c>
      <c r="D87" t="s">
        <v>245</v>
      </c>
      <c r="E87" s="4" t="str">
        <f>IFERROR(VLOOKUP(A87,Sheet2!A:B,2,),"Not in top 100")</f>
        <v>Not in top 100</v>
      </c>
    </row>
    <row r="88" spans="1:5" x14ac:dyDescent="0.3">
      <c r="A88" t="s">
        <v>87</v>
      </c>
      <c r="B88" s="1">
        <v>2738137</v>
      </c>
      <c r="C88" s="2">
        <v>45814</v>
      </c>
      <c r="D88" t="s">
        <v>264</v>
      </c>
      <c r="E88" s="4">
        <f>IFERROR(VLOOKUP(A88,Sheet2!A:B,2,),"Not in top 100")</f>
        <v>0.86</v>
      </c>
    </row>
    <row r="89" spans="1:5" x14ac:dyDescent="0.3">
      <c r="A89" t="s">
        <v>88</v>
      </c>
      <c r="B89" s="1">
        <v>2620076</v>
      </c>
      <c r="C89" s="2">
        <v>45771</v>
      </c>
      <c r="D89" t="s">
        <v>265</v>
      </c>
      <c r="E89" s="4" t="str">
        <f>IFERROR(VLOOKUP(A89,Sheet2!A:B,2,),"Not in top 100")</f>
        <v>Not in top 100</v>
      </c>
    </row>
    <row r="90" spans="1:5" x14ac:dyDescent="0.3">
      <c r="A90" t="s">
        <v>89</v>
      </c>
      <c r="B90" s="1">
        <v>2549422</v>
      </c>
      <c r="C90" s="2">
        <v>45688</v>
      </c>
      <c r="D90" t="s">
        <v>208</v>
      </c>
      <c r="E90" s="4" t="str">
        <f>IFERROR(VLOOKUP(A90,Sheet2!A:B,2,),"Not in top 100")</f>
        <v>Not in top 100</v>
      </c>
    </row>
    <row r="91" spans="1:5" x14ac:dyDescent="0.3">
      <c r="A91" t="s">
        <v>90</v>
      </c>
      <c r="B91" s="1">
        <v>2475373</v>
      </c>
      <c r="C91" s="2">
        <v>45765</v>
      </c>
      <c r="D91" t="s">
        <v>251</v>
      </c>
      <c r="E91" s="4">
        <f>IFERROR(VLOOKUP(A91,Sheet2!A:B,2,),"Not in top 100")</f>
        <v>0.76</v>
      </c>
    </row>
    <row r="92" spans="1:5" x14ac:dyDescent="0.3">
      <c r="A92" t="s">
        <v>92</v>
      </c>
      <c r="B92" s="1">
        <v>2229946</v>
      </c>
      <c r="C92" s="2">
        <v>45686</v>
      </c>
      <c r="D92" t="s">
        <v>253</v>
      </c>
      <c r="E92" s="4" t="str">
        <f>IFERROR(VLOOKUP(A92,Sheet2!A:B,2,),"Not in top 100")</f>
        <v>Not in top 100</v>
      </c>
    </row>
    <row r="93" spans="1:5" x14ac:dyDescent="0.3">
      <c r="A93" t="s">
        <v>91</v>
      </c>
      <c r="B93" s="1">
        <v>2229728</v>
      </c>
      <c r="C93" s="2">
        <v>45835</v>
      </c>
      <c r="D93" t="s">
        <v>251</v>
      </c>
      <c r="E93" s="4">
        <f>IFERROR(VLOOKUP(A93,Sheet2!A:B,2,),"Not in top 100")</f>
        <v>0.96</v>
      </c>
    </row>
    <row r="94" spans="1:5" x14ac:dyDescent="0.3">
      <c r="A94" t="s">
        <v>93</v>
      </c>
      <c r="B94" s="1">
        <v>2193805</v>
      </c>
      <c r="C94" s="2">
        <v>45813</v>
      </c>
      <c r="D94" t="s">
        <v>266</v>
      </c>
      <c r="E94" s="4" t="str">
        <f>IFERROR(VLOOKUP(A94,Sheet2!A:B,2,),"Not in top 100")</f>
        <v>Not in top 100</v>
      </c>
    </row>
    <row r="95" spans="1:5" x14ac:dyDescent="0.3">
      <c r="A95" t="s">
        <v>101</v>
      </c>
      <c r="B95" s="1">
        <v>2108907</v>
      </c>
      <c r="C95" s="2">
        <v>45723</v>
      </c>
      <c r="D95" t="s">
        <v>267</v>
      </c>
      <c r="E95" s="4" t="str">
        <f>IFERROR(VLOOKUP(A95,Sheet2!A:B,2,),"Not in top 100")</f>
        <v>Not in top 100</v>
      </c>
    </row>
    <row r="96" spans="1:5" x14ac:dyDescent="0.3">
      <c r="A96" t="s">
        <v>95</v>
      </c>
      <c r="B96" s="1">
        <v>2100000</v>
      </c>
      <c r="C96" s="2">
        <v>45667</v>
      </c>
      <c r="D96" t="s">
        <v>268</v>
      </c>
      <c r="E96" s="4" t="str">
        <f>IFERROR(VLOOKUP(A96,Sheet2!A:B,2,),"Not in top 100")</f>
        <v>Not in top 100</v>
      </c>
    </row>
    <row r="97" spans="1:5" x14ac:dyDescent="0.3">
      <c r="A97" t="s">
        <v>94</v>
      </c>
      <c r="B97" s="1">
        <v>2090228</v>
      </c>
      <c r="C97" s="2">
        <v>45765</v>
      </c>
      <c r="D97" t="s">
        <v>260</v>
      </c>
      <c r="E97" s="4">
        <f>IFERROR(VLOOKUP(A97,Sheet2!A:B,2,),"Not in top 100")</f>
        <v>0.86</v>
      </c>
    </row>
    <row r="98" spans="1:5" x14ac:dyDescent="0.3">
      <c r="A98" t="s">
        <v>96</v>
      </c>
      <c r="B98" s="1">
        <v>2010210</v>
      </c>
      <c r="C98" s="2">
        <v>45863</v>
      </c>
      <c r="D98" t="s">
        <v>255</v>
      </c>
      <c r="E98" s="4" t="str">
        <f>IFERROR(VLOOKUP(A98,Sheet2!A:B,2,),"Not in top 100")</f>
        <v>Not in top 100</v>
      </c>
    </row>
    <row r="99" spans="1:5" x14ac:dyDescent="0.3">
      <c r="A99" t="s">
        <v>97</v>
      </c>
      <c r="B99" s="1">
        <v>1993397</v>
      </c>
      <c r="C99" s="2">
        <v>45730</v>
      </c>
      <c r="D99" t="s">
        <v>251</v>
      </c>
      <c r="E99" s="4" t="str">
        <f>IFERROR(VLOOKUP(A99,Sheet2!A:B,2,),"Not in top 100")</f>
        <v>Not in top 100</v>
      </c>
    </row>
    <row r="100" spans="1:5" x14ac:dyDescent="0.3">
      <c r="A100" t="s">
        <v>98</v>
      </c>
      <c r="B100" s="1">
        <v>1876891</v>
      </c>
      <c r="C100" s="2">
        <v>45800</v>
      </c>
      <c r="D100" t="s">
        <v>255</v>
      </c>
      <c r="E100" s="4">
        <f>IFERROR(VLOOKUP(A100,Sheet2!A:B,2,),"Not in top 100")</f>
        <v>0.83</v>
      </c>
    </row>
    <row r="101" spans="1:5" x14ac:dyDescent="0.3">
      <c r="A101" t="s">
        <v>99</v>
      </c>
      <c r="B101" s="1">
        <v>1870305</v>
      </c>
      <c r="C101" s="2">
        <v>45723</v>
      </c>
      <c r="D101" t="s">
        <v>261</v>
      </c>
      <c r="E101" s="4" t="str">
        <f>IFERROR(VLOOKUP(A101,Sheet2!A:B,2,),"Not in top 100")</f>
        <v>Not in top 100</v>
      </c>
    </row>
    <row r="102" spans="1:5" x14ac:dyDescent="0.3">
      <c r="A102" t="s">
        <v>100</v>
      </c>
      <c r="B102" s="1">
        <v>1862519</v>
      </c>
      <c r="C102" s="2">
        <v>45715</v>
      </c>
      <c r="D102" t="s">
        <v>269</v>
      </c>
      <c r="E102" s="4" t="str">
        <f>IFERROR(VLOOKUP(A102,Sheet2!A:B,2,),"Not in top 100")</f>
        <v>Not in top 100</v>
      </c>
    </row>
    <row r="103" spans="1:5" x14ac:dyDescent="0.3">
      <c r="A103" t="s">
        <v>102</v>
      </c>
      <c r="B103" s="1">
        <v>1853487</v>
      </c>
      <c r="C103" s="2">
        <v>45688</v>
      </c>
      <c r="D103" t="s">
        <v>270</v>
      </c>
      <c r="E103" s="4" t="str">
        <f>IFERROR(VLOOKUP(A103,Sheet2!A:B,2,),"Not in top 100")</f>
        <v>Not in top 100</v>
      </c>
    </row>
    <row r="104" spans="1:5" x14ac:dyDescent="0.3">
      <c r="A104" t="s">
        <v>103</v>
      </c>
      <c r="B104" s="1">
        <v>1750000</v>
      </c>
      <c r="C104" s="2">
        <v>45828</v>
      </c>
      <c r="D104" t="s">
        <v>271</v>
      </c>
      <c r="E104" s="4" t="str">
        <f>IFERROR(VLOOKUP(A104,Sheet2!A:B,2,),"Not in top 100")</f>
        <v>Not in top 100</v>
      </c>
    </row>
    <row r="105" spans="1:5" x14ac:dyDescent="0.3">
      <c r="A105" t="s">
        <v>104</v>
      </c>
      <c r="B105" s="1">
        <v>1719105</v>
      </c>
      <c r="C105" s="2">
        <v>45688</v>
      </c>
      <c r="D105" t="s">
        <v>272</v>
      </c>
      <c r="E105" s="4" t="str">
        <f>IFERROR(VLOOKUP(A105,Sheet2!A:B,2,),"Not in top 100")</f>
        <v>Not in top 100</v>
      </c>
    </row>
    <row r="106" spans="1:5" x14ac:dyDescent="0.3">
      <c r="A106" t="s">
        <v>105</v>
      </c>
      <c r="B106" s="1">
        <v>1632758</v>
      </c>
      <c r="C106" s="2">
        <v>45737</v>
      </c>
      <c r="D106" t="s">
        <v>273</v>
      </c>
      <c r="E106" s="4" t="str">
        <f>IFERROR(VLOOKUP(A106,Sheet2!A:B,2,),"Not in top 100")</f>
        <v>Not in top 100</v>
      </c>
    </row>
    <row r="107" spans="1:5" x14ac:dyDescent="0.3">
      <c r="A107" t="s">
        <v>106</v>
      </c>
      <c r="B107" s="1">
        <v>1607835</v>
      </c>
      <c r="C107" s="2">
        <v>45744</v>
      </c>
      <c r="D107" t="s">
        <v>252</v>
      </c>
      <c r="E107" s="4">
        <f>IFERROR(VLOOKUP(A107,Sheet2!A:B,2,),"Not in top 100")</f>
        <v>0.97</v>
      </c>
    </row>
    <row r="108" spans="1:5" x14ac:dyDescent="0.3">
      <c r="A108" t="s">
        <v>107</v>
      </c>
      <c r="B108" s="1">
        <v>1576310</v>
      </c>
      <c r="C108" s="2">
        <v>45863</v>
      </c>
      <c r="D108" t="s">
        <v>248</v>
      </c>
      <c r="E108" s="4" t="str">
        <f>IFERROR(VLOOKUP(A108,Sheet2!A:B,2,),"Not in top 100")</f>
        <v>Not in top 100</v>
      </c>
    </row>
    <row r="109" spans="1:5" x14ac:dyDescent="0.3">
      <c r="A109" s="2">
        <v>45938</v>
      </c>
      <c r="B109" s="1">
        <v>1368458</v>
      </c>
      <c r="C109" s="2">
        <v>45730</v>
      </c>
      <c r="D109" t="s">
        <v>274</v>
      </c>
      <c r="E109" s="4" t="str">
        <f>IFERROR(VLOOKUP(A109,Sheet2!A:B,2,),"Not in top 100")</f>
        <v>Not in top 100</v>
      </c>
    </row>
    <row r="110" spans="1:5" x14ac:dyDescent="0.3">
      <c r="A110" t="s">
        <v>109</v>
      </c>
      <c r="B110" s="1">
        <v>1342796</v>
      </c>
      <c r="C110" s="2">
        <v>45660</v>
      </c>
      <c r="D110" t="s">
        <v>261</v>
      </c>
      <c r="E110" s="4">
        <f>IFERROR(VLOOKUP(A110,Sheet2!A:B,2,),"Not in top 100")</f>
        <v>0.9</v>
      </c>
    </row>
    <row r="111" spans="1:5" x14ac:dyDescent="0.3">
      <c r="A111" t="s">
        <v>110</v>
      </c>
      <c r="B111" s="1">
        <v>1306597</v>
      </c>
      <c r="C111" s="2">
        <v>45779</v>
      </c>
      <c r="D111" t="s">
        <v>269</v>
      </c>
      <c r="E111" s="4">
        <f>IFERROR(VLOOKUP(A111,Sheet2!A:B,2,),"Not in top 100")</f>
        <v>0.84</v>
      </c>
    </row>
    <row r="112" spans="1:5" x14ac:dyDescent="0.3">
      <c r="A112" t="s">
        <v>111</v>
      </c>
      <c r="B112" s="1">
        <v>1250703</v>
      </c>
      <c r="C112" s="2">
        <v>45716</v>
      </c>
      <c r="D112" t="s">
        <v>274</v>
      </c>
      <c r="E112" s="4">
        <f>IFERROR(VLOOKUP(A112,Sheet2!A:B,2,),"Not in top 100")</f>
        <v>0.95</v>
      </c>
    </row>
    <row r="113" spans="1:5" x14ac:dyDescent="0.3">
      <c r="A113" t="s">
        <v>112</v>
      </c>
      <c r="B113" s="1">
        <v>1236630</v>
      </c>
      <c r="C113" s="2">
        <v>45688</v>
      </c>
      <c r="D113" t="s">
        <v>274</v>
      </c>
      <c r="E113" s="4" t="str">
        <f>IFERROR(VLOOKUP(A113,Sheet2!A:B,2,),"Not in top 100")</f>
        <v>Not in top 100</v>
      </c>
    </row>
    <row r="114" spans="1:5" x14ac:dyDescent="0.3">
      <c r="A114" t="s">
        <v>113</v>
      </c>
      <c r="B114" s="1">
        <v>1223881</v>
      </c>
      <c r="C114" s="2">
        <v>45716</v>
      </c>
      <c r="D114" t="s">
        <v>258</v>
      </c>
      <c r="E114" s="4" t="str">
        <f>IFERROR(VLOOKUP(A114,Sheet2!A:B,2,),"Not in top 100")</f>
        <v>Not in top 100</v>
      </c>
    </row>
    <row r="115" spans="1:5" x14ac:dyDescent="0.3">
      <c r="A115" t="s">
        <v>114</v>
      </c>
      <c r="B115" s="1">
        <v>1166243</v>
      </c>
      <c r="C115" s="2">
        <v>45737</v>
      </c>
      <c r="D115" t="s">
        <v>274</v>
      </c>
      <c r="E115" s="4" t="str">
        <f>IFERROR(VLOOKUP(A115,Sheet2!A:B,2,),"Not in top 100")</f>
        <v>Not in top 100</v>
      </c>
    </row>
    <row r="116" spans="1:5" x14ac:dyDescent="0.3">
      <c r="A116" t="s">
        <v>115</v>
      </c>
      <c r="B116" s="1">
        <v>1152549</v>
      </c>
      <c r="C116" s="2">
        <v>45814</v>
      </c>
      <c r="D116" t="s">
        <v>208</v>
      </c>
      <c r="E116" s="4" t="str">
        <f>IFERROR(VLOOKUP(A116,Sheet2!A:B,2,),"Not in top 100")</f>
        <v>Not in top 100</v>
      </c>
    </row>
    <row r="117" spans="1:5" x14ac:dyDescent="0.3">
      <c r="A117" t="s">
        <v>116</v>
      </c>
      <c r="B117" s="1">
        <v>1083743</v>
      </c>
      <c r="C117" s="2">
        <v>45737</v>
      </c>
      <c r="D117" t="s">
        <v>275</v>
      </c>
      <c r="E117" s="4" t="str">
        <f>IFERROR(VLOOKUP(A117,Sheet2!A:B,2,),"Not in top 100")</f>
        <v>Not in top 100</v>
      </c>
    </row>
    <row r="118" spans="1:5" x14ac:dyDescent="0.3">
      <c r="A118" t="s">
        <v>117</v>
      </c>
      <c r="B118" s="1">
        <v>1069737</v>
      </c>
      <c r="C118" s="2">
        <v>45843</v>
      </c>
      <c r="D118" t="s">
        <v>208</v>
      </c>
      <c r="E118" s="4" t="str">
        <f>IFERROR(VLOOKUP(A118,Sheet2!A:B,2,),"Not in top 100")</f>
        <v>Not in top 100</v>
      </c>
    </row>
    <row r="119" spans="1:5" x14ac:dyDescent="0.3">
      <c r="A119" t="s">
        <v>118</v>
      </c>
      <c r="B119" s="1">
        <v>1068055</v>
      </c>
      <c r="C119" s="2">
        <v>45828</v>
      </c>
      <c r="D119" t="s">
        <v>252</v>
      </c>
      <c r="E119" s="4" t="str">
        <f>IFERROR(VLOOKUP(A119,Sheet2!A:B,2,),"Not in top 100")</f>
        <v>Not in top 100</v>
      </c>
    </row>
    <row r="120" spans="1:5" x14ac:dyDescent="0.3">
      <c r="A120" t="s">
        <v>119</v>
      </c>
      <c r="B120" s="1">
        <v>1030558</v>
      </c>
      <c r="C120" s="2">
        <v>45772</v>
      </c>
      <c r="D120" t="s">
        <v>255</v>
      </c>
      <c r="E120" s="4" t="str">
        <f>IFERROR(VLOOKUP(A120,Sheet2!A:B,2,),"Not in top 100")</f>
        <v>Not in top 100</v>
      </c>
    </row>
    <row r="121" spans="1:5" x14ac:dyDescent="0.3">
      <c r="A121" t="s">
        <v>120</v>
      </c>
      <c r="B121" s="1">
        <v>996456</v>
      </c>
      <c r="C121" s="2">
        <v>45821</v>
      </c>
      <c r="D121" t="s">
        <v>269</v>
      </c>
      <c r="E121" s="4" t="str">
        <f>IFERROR(VLOOKUP(A121,Sheet2!A:B,2,),"Not in top 100")</f>
        <v>Not in top 100</v>
      </c>
    </row>
    <row r="122" spans="1:5" x14ac:dyDescent="0.3">
      <c r="A122" t="s">
        <v>121</v>
      </c>
      <c r="B122" s="1">
        <v>955000</v>
      </c>
      <c r="C122" s="2">
        <v>45779</v>
      </c>
      <c r="D122" t="s">
        <v>271</v>
      </c>
      <c r="E122" s="4" t="str">
        <f>IFERROR(VLOOKUP(A122,Sheet2!A:B,2,),"Not in top 100")</f>
        <v>Not in top 100</v>
      </c>
    </row>
    <row r="123" spans="1:5" x14ac:dyDescent="0.3">
      <c r="A123" t="s">
        <v>122</v>
      </c>
      <c r="B123" s="1">
        <v>916022</v>
      </c>
      <c r="C123" s="2">
        <v>45765</v>
      </c>
      <c r="D123" t="s">
        <v>274</v>
      </c>
      <c r="E123" s="4" t="str">
        <f>IFERROR(VLOOKUP(A123,Sheet2!A:B,2,),"Not in top 100")</f>
        <v>Not in top 100</v>
      </c>
    </row>
    <row r="124" spans="1:5" x14ac:dyDescent="0.3">
      <c r="A124" t="s">
        <v>123</v>
      </c>
      <c r="B124" s="1">
        <v>915000</v>
      </c>
      <c r="C124" s="2">
        <v>45660</v>
      </c>
      <c r="D124" t="s">
        <v>240</v>
      </c>
      <c r="E124" s="4" t="str">
        <f>IFERROR(VLOOKUP(A124,Sheet2!A:B,2,),"Not in top 100")</f>
        <v>Not in top 100</v>
      </c>
    </row>
    <row r="125" spans="1:5" x14ac:dyDescent="0.3">
      <c r="A125" t="s">
        <v>124</v>
      </c>
      <c r="B125" s="1">
        <v>908593</v>
      </c>
      <c r="C125" s="2">
        <v>45751</v>
      </c>
      <c r="D125" t="s">
        <v>276</v>
      </c>
      <c r="E125" s="4">
        <f>IFERROR(VLOOKUP(A125,Sheet2!A:B,2,),"Not in top 100")</f>
        <v>0.96</v>
      </c>
    </row>
    <row r="126" spans="1:5" x14ac:dyDescent="0.3">
      <c r="A126" t="s">
        <v>125</v>
      </c>
      <c r="B126" s="1">
        <v>866466</v>
      </c>
      <c r="C126" s="2">
        <v>45779</v>
      </c>
      <c r="D126" t="s">
        <v>277</v>
      </c>
      <c r="E126" s="4" t="str">
        <f>IFERROR(VLOOKUP(A126,Sheet2!A:B,2,),"Not in top 100")</f>
        <v>Not in top 100</v>
      </c>
    </row>
    <row r="127" spans="1:5" x14ac:dyDescent="0.3">
      <c r="A127" t="s">
        <v>126</v>
      </c>
      <c r="B127" s="1">
        <v>849145</v>
      </c>
      <c r="C127" s="2">
        <v>45737</v>
      </c>
      <c r="D127" t="s">
        <v>278</v>
      </c>
      <c r="E127" s="4" t="str">
        <f>IFERROR(VLOOKUP(A127,Sheet2!A:B,2,),"Not in top 100")</f>
        <v>Not in top 100</v>
      </c>
    </row>
    <row r="128" spans="1:5" x14ac:dyDescent="0.3">
      <c r="A128" t="s">
        <v>127</v>
      </c>
      <c r="B128" s="1">
        <v>808122</v>
      </c>
      <c r="C128" s="2">
        <v>45667</v>
      </c>
      <c r="D128" t="s">
        <v>260</v>
      </c>
      <c r="E128" s="4" t="str">
        <f>IFERROR(VLOOKUP(A128,Sheet2!A:B,2,),"Not in top 100")</f>
        <v>Not in top 100</v>
      </c>
    </row>
    <row r="129" spans="1:5" x14ac:dyDescent="0.3">
      <c r="A129" t="s">
        <v>128</v>
      </c>
      <c r="B129" s="1">
        <v>794091</v>
      </c>
      <c r="C129" s="2">
        <v>45709</v>
      </c>
      <c r="D129" t="s">
        <v>279</v>
      </c>
      <c r="E129" s="4" t="str">
        <f>IFERROR(VLOOKUP(A129,Sheet2!A:B,2,),"Not in top 100")</f>
        <v>Not in top 100</v>
      </c>
    </row>
    <row r="130" spans="1:5" x14ac:dyDescent="0.3">
      <c r="A130" t="s">
        <v>129</v>
      </c>
      <c r="B130" s="1">
        <v>793000</v>
      </c>
      <c r="C130" s="2">
        <v>45779</v>
      </c>
      <c r="D130" t="s">
        <v>208</v>
      </c>
      <c r="E130" s="4" t="str">
        <f>IFERROR(VLOOKUP(A130,Sheet2!A:B,2,),"Not in top 100")</f>
        <v>Not in top 100</v>
      </c>
    </row>
    <row r="131" spans="1:5" x14ac:dyDescent="0.3">
      <c r="A131" t="s">
        <v>130</v>
      </c>
      <c r="B131" s="1">
        <v>789173</v>
      </c>
      <c r="C131" s="2">
        <v>45807</v>
      </c>
      <c r="D131" t="s">
        <v>265</v>
      </c>
      <c r="E131" s="4" t="str">
        <f>IFERROR(VLOOKUP(A131,Sheet2!A:B,2,),"Not in top 100")</f>
        <v>Not in top 100</v>
      </c>
    </row>
    <row r="132" spans="1:5" x14ac:dyDescent="0.3">
      <c r="A132" t="s">
        <v>131</v>
      </c>
      <c r="B132" s="1">
        <v>768905</v>
      </c>
      <c r="C132" s="2">
        <v>45840</v>
      </c>
      <c r="D132" t="s">
        <v>280</v>
      </c>
      <c r="E132" s="4">
        <f>IFERROR(VLOOKUP(A132,Sheet2!A:B,2,),"Not in top 100")</f>
        <v>0.9</v>
      </c>
    </row>
    <row r="133" spans="1:5" x14ac:dyDescent="0.3">
      <c r="A133" t="s">
        <v>132</v>
      </c>
      <c r="B133" s="1">
        <v>755935</v>
      </c>
      <c r="C133" s="2">
        <v>45765</v>
      </c>
      <c r="D133" t="s">
        <v>281</v>
      </c>
      <c r="E133" s="4">
        <f>IFERROR(VLOOKUP(A133,Sheet2!A:B,2,),"Not in top 100")</f>
        <v>0.75</v>
      </c>
    </row>
    <row r="134" spans="1:5" x14ac:dyDescent="0.3">
      <c r="A134" t="s">
        <v>133</v>
      </c>
      <c r="B134" s="1">
        <v>750396</v>
      </c>
      <c r="C134" s="2">
        <v>45772</v>
      </c>
      <c r="D134" t="s">
        <v>208</v>
      </c>
      <c r="E134" s="4" t="str">
        <f>IFERROR(VLOOKUP(A134,Sheet2!A:B,2,),"Not in top 100")</f>
        <v>Not in top 100</v>
      </c>
    </row>
    <row r="135" spans="1:5" x14ac:dyDescent="0.3">
      <c r="A135" t="s">
        <v>134</v>
      </c>
      <c r="B135" s="1">
        <v>725556</v>
      </c>
      <c r="C135" s="2">
        <v>45817</v>
      </c>
      <c r="D135" t="s">
        <v>272</v>
      </c>
      <c r="E135" s="4" t="str">
        <f>IFERROR(VLOOKUP(A135,Sheet2!A:B,2,),"Not in top 100")</f>
        <v>Not in top 100</v>
      </c>
    </row>
    <row r="136" spans="1:5" x14ac:dyDescent="0.3">
      <c r="A136" t="s">
        <v>135</v>
      </c>
      <c r="B136" s="1">
        <v>707265</v>
      </c>
      <c r="C136" s="2">
        <v>45674</v>
      </c>
      <c r="D136" t="s">
        <v>208</v>
      </c>
      <c r="E136" s="4" t="str">
        <f>IFERROR(VLOOKUP(A136,Sheet2!A:B,2,),"Not in top 100")</f>
        <v>Not in top 100</v>
      </c>
    </row>
    <row r="137" spans="1:5" x14ac:dyDescent="0.3">
      <c r="A137" t="s">
        <v>136</v>
      </c>
      <c r="B137" s="1">
        <v>706033</v>
      </c>
      <c r="C137" s="2">
        <v>45758</v>
      </c>
      <c r="D137" t="s">
        <v>261</v>
      </c>
      <c r="E137" s="4">
        <f>IFERROR(VLOOKUP(A137,Sheet2!A:B,2,),"Not in top 100")</f>
        <v>0.84</v>
      </c>
    </row>
    <row r="138" spans="1:5" x14ac:dyDescent="0.3">
      <c r="A138" t="s">
        <v>137</v>
      </c>
      <c r="B138" s="1">
        <v>692591</v>
      </c>
      <c r="C138" s="2">
        <v>45870</v>
      </c>
      <c r="D138" t="s">
        <v>282</v>
      </c>
      <c r="E138" s="4" t="str">
        <f>IFERROR(VLOOKUP(A138,Sheet2!A:B,2,),"Not in top 100")</f>
        <v>Not in top 100</v>
      </c>
    </row>
    <row r="139" spans="1:5" x14ac:dyDescent="0.3">
      <c r="A139" t="s">
        <v>138</v>
      </c>
      <c r="B139" s="1">
        <v>689293</v>
      </c>
      <c r="C139" s="2">
        <v>45835</v>
      </c>
      <c r="D139" t="s">
        <v>283</v>
      </c>
      <c r="E139" s="4" t="str">
        <f>IFERROR(VLOOKUP(A139,Sheet2!A:B,2,),"Not in top 100")</f>
        <v>Not in top 100</v>
      </c>
    </row>
    <row r="140" spans="1:5" x14ac:dyDescent="0.3">
      <c r="A140" t="s">
        <v>139</v>
      </c>
      <c r="B140" s="1">
        <v>671343</v>
      </c>
      <c r="C140" s="2">
        <v>45709</v>
      </c>
      <c r="D140" t="s">
        <v>245</v>
      </c>
      <c r="E140" s="4" t="str">
        <f>IFERROR(VLOOKUP(A140,Sheet2!A:B,2,),"Not in top 100")</f>
        <v>Not in top 100</v>
      </c>
    </row>
    <row r="141" spans="1:5" x14ac:dyDescent="0.3">
      <c r="A141" t="s">
        <v>140</v>
      </c>
      <c r="B141" s="1">
        <v>657661</v>
      </c>
      <c r="C141" s="2">
        <v>45723</v>
      </c>
      <c r="D141" t="s">
        <v>284</v>
      </c>
      <c r="E141" s="4">
        <f>IFERROR(VLOOKUP(A141,Sheet2!A:B,2,),"Not in top 100")</f>
        <v>0.73</v>
      </c>
    </row>
    <row r="142" spans="1:5" x14ac:dyDescent="0.3">
      <c r="A142" t="s">
        <v>141</v>
      </c>
      <c r="B142" s="1">
        <v>572493</v>
      </c>
      <c r="C142" s="2">
        <v>45849</v>
      </c>
      <c r="D142" t="s">
        <v>245</v>
      </c>
      <c r="E142" s="4">
        <f>IFERROR(VLOOKUP(A142,Sheet2!A:B,2,),"Not in top 100")</f>
        <v>0.91</v>
      </c>
    </row>
    <row r="143" spans="1:5" x14ac:dyDescent="0.3">
      <c r="A143" t="s">
        <v>142</v>
      </c>
      <c r="B143" s="1">
        <v>557116</v>
      </c>
      <c r="C143" s="2">
        <v>45680</v>
      </c>
      <c r="D143" t="s">
        <v>258</v>
      </c>
      <c r="E143" s="4">
        <f>IFERROR(VLOOKUP(A143,Sheet2!A:B,2,),"Not in top 100")</f>
        <v>0.92</v>
      </c>
    </row>
    <row r="144" spans="1:5" x14ac:dyDescent="0.3">
      <c r="A144" t="s">
        <v>209</v>
      </c>
      <c r="B144" s="1">
        <v>546879</v>
      </c>
      <c r="C144" s="2">
        <v>45674</v>
      </c>
      <c r="D144" t="s">
        <v>285</v>
      </c>
      <c r="E144" s="4" t="str">
        <f>IFERROR(VLOOKUP(A144,Sheet2!A:B,2,),"Not in top 100")</f>
        <v>Not in top 100</v>
      </c>
    </row>
    <row r="145" spans="1:5" x14ac:dyDescent="0.3">
      <c r="A145" t="s">
        <v>143</v>
      </c>
      <c r="B145" s="1">
        <v>534372</v>
      </c>
      <c r="C145" s="2">
        <v>45737</v>
      </c>
      <c r="D145" t="s">
        <v>269</v>
      </c>
      <c r="E145" s="4" t="str">
        <f>IFERROR(VLOOKUP(A145,Sheet2!A:B,2,),"Not in top 100")</f>
        <v>Not in top 100</v>
      </c>
    </row>
    <row r="146" spans="1:5" x14ac:dyDescent="0.3">
      <c r="A146" t="s">
        <v>144</v>
      </c>
      <c r="B146" s="1">
        <v>533364</v>
      </c>
      <c r="C146" s="2">
        <v>45744</v>
      </c>
      <c r="D146" t="s">
        <v>286</v>
      </c>
      <c r="E146" s="4" t="str">
        <f>IFERROR(VLOOKUP(A146,Sheet2!A:B,2,),"Not in top 100")</f>
        <v>Not in top 100</v>
      </c>
    </row>
    <row r="147" spans="1:5" x14ac:dyDescent="0.3">
      <c r="A147" t="s">
        <v>145</v>
      </c>
      <c r="B147" s="1">
        <v>527118</v>
      </c>
      <c r="C147" s="2">
        <v>45814</v>
      </c>
      <c r="D147" t="s">
        <v>287</v>
      </c>
      <c r="E147" s="4" t="str">
        <f>IFERROR(VLOOKUP(A147,Sheet2!A:B,2,),"Not in top 100")</f>
        <v>Not in top 100</v>
      </c>
    </row>
    <row r="148" spans="1:5" x14ac:dyDescent="0.3">
      <c r="A148" t="s">
        <v>146</v>
      </c>
      <c r="B148" s="1">
        <v>522188</v>
      </c>
      <c r="C148" s="2">
        <v>45723</v>
      </c>
      <c r="D148" t="s">
        <v>288</v>
      </c>
      <c r="E148" s="4">
        <f>IFERROR(VLOOKUP(A148,Sheet2!A:B,2,),"Not in top 100")</f>
        <v>1</v>
      </c>
    </row>
    <row r="149" spans="1:5" x14ac:dyDescent="0.3">
      <c r="A149" t="s">
        <v>147</v>
      </c>
      <c r="B149" s="1">
        <v>503786</v>
      </c>
      <c r="C149" s="2">
        <v>45760</v>
      </c>
      <c r="D149" t="s">
        <v>289</v>
      </c>
      <c r="E149" s="4" t="str">
        <f>IFERROR(VLOOKUP(A149,Sheet2!A:B,2,),"Not in top 100")</f>
        <v>Not in top 100</v>
      </c>
    </row>
    <row r="150" spans="1:5" x14ac:dyDescent="0.3">
      <c r="A150" t="s">
        <v>148</v>
      </c>
      <c r="B150" s="1">
        <v>500000</v>
      </c>
      <c r="C150" s="2">
        <v>45744</v>
      </c>
      <c r="D150" t="s">
        <v>290</v>
      </c>
      <c r="E150" s="4" t="str">
        <f>IFERROR(VLOOKUP(A150,Sheet2!A:B,2,),"Not in top 100")</f>
        <v>Not in top 100</v>
      </c>
    </row>
    <row r="151" spans="1:5" x14ac:dyDescent="0.3">
      <c r="A151" t="s">
        <v>150</v>
      </c>
      <c r="B151" s="1">
        <v>479647</v>
      </c>
      <c r="C151" s="2">
        <v>45772</v>
      </c>
      <c r="D151" t="s">
        <v>208</v>
      </c>
      <c r="E151" s="4" t="str">
        <f>IFERROR(VLOOKUP(A151,Sheet2!A:B,2,),"Not in top 100")</f>
        <v>Not in top 100</v>
      </c>
    </row>
    <row r="152" spans="1:5" x14ac:dyDescent="0.3">
      <c r="A152" t="s">
        <v>149</v>
      </c>
      <c r="B152" s="1">
        <v>478148</v>
      </c>
      <c r="C152" s="2">
        <v>45695</v>
      </c>
      <c r="D152" t="s">
        <v>291</v>
      </c>
      <c r="E152" s="4" t="str">
        <f>IFERROR(VLOOKUP(A152,Sheet2!A:B,2,),"Not in top 100")</f>
        <v>Not in top 100</v>
      </c>
    </row>
    <row r="153" spans="1:5" x14ac:dyDescent="0.3">
      <c r="A153" t="s">
        <v>151</v>
      </c>
      <c r="B153" s="1">
        <v>456623</v>
      </c>
      <c r="C153" s="2">
        <v>45786</v>
      </c>
      <c r="D153" t="s">
        <v>274</v>
      </c>
      <c r="E153" s="4" t="str">
        <f>IFERROR(VLOOKUP(A153,Sheet2!A:B,2,),"Not in top 100")</f>
        <v>Not in top 100</v>
      </c>
    </row>
    <row r="154" spans="1:5" x14ac:dyDescent="0.3">
      <c r="A154" t="s">
        <v>152</v>
      </c>
      <c r="B154" s="1">
        <v>455830</v>
      </c>
      <c r="C154" s="2">
        <v>45863</v>
      </c>
      <c r="D154" t="s">
        <v>264</v>
      </c>
      <c r="E154" s="4" t="str">
        <f>IFERROR(VLOOKUP(A154,Sheet2!A:B,2,),"Not in top 100")</f>
        <v>Not in top 100</v>
      </c>
    </row>
    <row r="155" spans="1:5" x14ac:dyDescent="0.3">
      <c r="A155" t="s">
        <v>153</v>
      </c>
      <c r="B155" s="1">
        <v>433817</v>
      </c>
      <c r="C155" s="2">
        <v>45723</v>
      </c>
      <c r="D155" t="s">
        <v>264</v>
      </c>
      <c r="E155" s="4" t="str">
        <f>IFERROR(VLOOKUP(A155,Sheet2!A:B,2,),"Not in top 100")</f>
        <v>Not in top 100</v>
      </c>
    </row>
    <row r="156" spans="1:5" x14ac:dyDescent="0.3">
      <c r="A156" t="s">
        <v>154</v>
      </c>
      <c r="B156" s="1">
        <v>433617</v>
      </c>
      <c r="C156" s="2">
        <v>45751</v>
      </c>
      <c r="D156" t="s">
        <v>264</v>
      </c>
      <c r="E156" s="4" t="str">
        <f>IFERROR(VLOOKUP(A156,Sheet2!A:B,2,),"Not in top 100")</f>
        <v>Not in top 100</v>
      </c>
    </row>
    <row r="157" spans="1:5" x14ac:dyDescent="0.3">
      <c r="A157" t="s">
        <v>155</v>
      </c>
      <c r="B157" s="1">
        <v>433600</v>
      </c>
      <c r="C157" s="2">
        <v>45877</v>
      </c>
      <c r="D157" t="s">
        <v>261</v>
      </c>
      <c r="E157" s="4" t="str">
        <f>IFERROR(VLOOKUP(A157,Sheet2!A:B,2,),"Not in top 100")</f>
        <v>Not in top 100</v>
      </c>
    </row>
    <row r="158" spans="1:5" x14ac:dyDescent="0.3">
      <c r="A158" t="s">
        <v>156</v>
      </c>
      <c r="B158" s="1">
        <v>421164</v>
      </c>
      <c r="C158" s="2">
        <v>45877</v>
      </c>
      <c r="D158" t="s">
        <v>280</v>
      </c>
      <c r="E158" s="4" t="str">
        <f>IFERROR(VLOOKUP(A158,Sheet2!A:B,2,),"Not in top 100")</f>
        <v>Not in top 100</v>
      </c>
    </row>
    <row r="159" spans="1:5" x14ac:dyDescent="0.3">
      <c r="A159" t="s">
        <v>210</v>
      </c>
      <c r="B159" s="1">
        <v>419817</v>
      </c>
      <c r="C159" s="2">
        <v>45807</v>
      </c>
      <c r="D159" t="s">
        <v>265</v>
      </c>
      <c r="E159" s="4" t="str">
        <f>IFERROR(VLOOKUP(A159,Sheet2!A:B,2,),"Not in top 100")</f>
        <v>Not in top 100</v>
      </c>
    </row>
    <row r="160" spans="1:5" x14ac:dyDescent="0.3">
      <c r="A160" t="s">
        <v>157</v>
      </c>
      <c r="B160" s="1">
        <v>407965</v>
      </c>
      <c r="C160" s="2">
        <v>45667</v>
      </c>
      <c r="D160" t="s">
        <v>270</v>
      </c>
      <c r="E160" s="4" t="str">
        <f>IFERROR(VLOOKUP(A160,Sheet2!A:B,2,),"Not in top 100")</f>
        <v>Not in top 100</v>
      </c>
    </row>
    <row r="161" spans="1:5" x14ac:dyDescent="0.3">
      <c r="A161" t="s">
        <v>158</v>
      </c>
      <c r="B161" s="1">
        <v>394239</v>
      </c>
      <c r="C161" s="2">
        <v>45758</v>
      </c>
      <c r="D161" t="s">
        <v>280</v>
      </c>
      <c r="E161" s="4" t="str">
        <f>IFERROR(VLOOKUP(A161,Sheet2!A:B,2,),"Not in top 100")</f>
        <v>Not in top 100</v>
      </c>
    </row>
    <row r="162" spans="1:5" x14ac:dyDescent="0.3">
      <c r="A162" t="s">
        <v>159</v>
      </c>
      <c r="B162" s="1">
        <v>383542</v>
      </c>
      <c r="C162" s="2">
        <v>45791</v>
      </c>
      <c r="D162" t="s">
        <v>245</v>
      </c>
      <c r="E162" s="4" t="str">
        <f>IFERROR(VLOOKUP(A162,Sheet2!A:B,2,),"Not in top 100")</f>
        <v>Not in top 100</v>
      </c>
    </row>
    <row r="163" spans="1:5" x14ac:dyDescent="0.3">
      <c r="A163" t="s">
        <v>160</v>
      </c>
      <c r="B163" s="1">
        <v>350841</v>
      </c>
      <c r="C163" s="2">
        <v>45688</v>
      </c>
      <c r="D163" t="s">
        <v>260</v>
      </c>
      <c r="E163" s="4" t="str">
        <f>IFERROR(VLOOKUP(A163,Sheet2!A:B,2,),"Not in top 100")</f>
        <v>Not in top 100</v>
      </c>
    </row>
    <row r="164" spans="1:5" x14ac:dyDescent="0.3">
      <c r="A164" t="s">
        <v>161</v>
      </c>
      <c r="B164" s="1">
        <v>348581</v>
      </c>
      <c r="C164" s="2">
        <v>45779</v>
      </c>
      <c r="D164" t="s">
        <v>292</v>
      </c>
      <c r="E164" s="4">
        <f>IFERROR(VLOOKUP(A164,Sheet2!A:B,2,),"Not in top 100")</f>
        <v>0.95</v>
      </c>
    </row>
    <row r="165" spans="1:5" x14ac:dyDescent="0.3">
      <c r="A165" t="s">
        <v>162</v>
      </c>
      <c r="B165" s="1">
        <v>336366</v>
      </c>
      <c r="C165" s="2">
        <v>45869</v>
      </c>
      <c r="D165" t="s">
        <v>272</v>
      </c>
      <c r="E165" s="4" t="str">
        <f>IFERROR(VLOOKUP(A165,Sheet2!A:B,2,),"Not in top 100")</f>
        <v>Not in top 100</v>
      </c>
    </row>
    <row r="166" spans="1:5" x14ac:dyDescent="0.3">
      <c r="A166" t="s">
        <v>163</v>
      </c>
      <c r="B166" s="1">
        <v>336339</v>
      </c>
      <c r="C166" s="2">
        <v>45695</v>
      </c>
      <c r="D166" t="s">
        <v>293</v>
      </c>
      <c r="E166" s="4">
        <f>IFERROR(VLOOKUP(A166,Sheet2!A:B,2,),"Not in top 100")</f>
        <v>0.89</v>
      </c>
    </row>
    <row r="167" spans="1:5" x14ac:dyDescent="0.3">
      <c r="A167" t="s">
        <v>164</v>
      </c>
      <c r="B167" s="1">
        <v>334988</v>
      </c>
      <c r="C167" s="2">
        <v>45674</v>
      </c>
      <c r="D167" t="s">
        <v>266</v>
      </c>
      <c r="E167" s="4" t="str">
        <f>IFERROR(VLOOKUP(A167,Sheet2!A:B,2,),"Not in top 100")</f>
        <v>Not in top 100</v>
      </c>
    </row>
    <row r="168" spans="1:5" x14ac:dyDescent="0.3">
      <c r="A168" t="s">
        <v>165</v>
      </c>
      <c r="B168" s="1">
        <v>325449</v>
      </c>
      <c r="C168" s="2">
        <v>45716</v>
      </c>
      <c r="D168" t="s">
        <v>285</v>
      </c>
      <c r="E168" s="4" t="str">
        <f>IFERROR(VLOOKUP(A168,Sheet2!A:B,2,),"Not in top 100")</f>
        <v>Not in top 100</v>
      </c>
    </row>
    <row r="169" spans="1:5" x14ac:dyDescent="0.3">
      <c r="A169" t="s">
        <v>166</v>
      </c>
      <c r="B169" s="1">
        <v>308555</v>
      </c>
      <c r="C169" s="2">
        <v>45765</v>
      </c>
      <c r="D169" t="s">
        <v>264</v>
      </c>
      <c r="E169" s="4">
        <f>IFERROR(VLOOKUP(A169,Sheet2!A:B,2,),"Not in top 100")</f>
        <v>0.96</v>
      </c>
    </row>
    <row r="170" spans="1:5" x14ac:dyDescent="0.3">
      <c r="A170" t="s">
        <v>167</v>
      </c>
      <c r="B170" s="1">
        <v>289713</v>
      </c>
      <c r="C170" s="2">
        <v>45786</v>
      </c>
      <c r="D170" t="s">
        <v>283</v>
      </c>
      <c r="E170" s="4">
        <f>IFERROR(VLOOKUP(A170,Sheet2!A:B,2,),"Not in top 100")</f>
        <v>0.99</v>
      </c>
    </row>
    <row r="171" spans="1:5" x14ac:dyDescent="0.3">
      <c r="A171" t="s">
        <v>211</v>
      </c>
      <c r="B171" s="1">
        <v>289303</v>
      </c>
      <c r="C171" s="2">
        <v>45695</v>
      </c>
      <c r="D171" t="s">
        <v>251</v>
      </c>
      <c r="E171" s="4" t="str">
        <f>IFERROR(VLOOKUP(A171,Sheet2!A:B,2,),"Not in top 100")</f>
        <v>Not in top 100</v>
      </c>
    </row>
    <row r="172" spans="1:5" x14ac:dyDescent="0.3">
      <c r="A172" t="s">
        <v>194</v>
      </c>
      <c r="B172" s="1">
        <v>279328</v>
      </c>
      <c r="C172" s="2">
        <v>45737</v>
      </c>
      <c r="D172" t="s">
        <v>280</v>
      </c>
      <c r="E172" s="4">
        <f>IFERROR(VLOOKUP(A172,Sheet2!A:B,2,),"Not in top 100")</f>
        <v>0.83</v>
      </c>
    </row>
    <row r="173" spans="1:5" x14ac:dyDescent="0.3">
      <c r="A173" t="s">
        <v>212</v>
      </c>
      <c r="B173" s="1">
        <v>272768</v>
      </c>
      <c r="C173" s="2">
        <v>45835</v>
      </c>
      <c r="D173" t="s">
        <v>290</v>
      </c>
      <c r="E173" s="4" t="str">
        <f>IFERROR(VLOOKUP(A173,Sheet2!A:B,2,),"Not in top 100")</f>
        <v>Not in top 100</v>
      </c>
    </row>
    <row r="174" spans="1:5" x14ac:dyDescent="0.3">
      <c r="A174" t="s">
        <v>187</v>
      </c>
      <c r="B174" s="1">
        <v>267627</v>
      </c>
      <c r="C174" s="2">
        <v>45856</v>
      </c>
      <c r="D174" t="s">
        <v>281</v>
      </c>
      <c r="E174" s="4">
        <f>IFERROR(VLOOKUP(A174,Sheet2!A:B,2,),"Not in top 100")</f>
        <v>0.93</v>
      </c>
    </row>
    <row r="175" spans="1:5" x14ac:dyDescent="0.3">
      <c r="A175" t="s">
        <v>213</v>
      </c>
      <c r="B175" s="1">
        <v>265986</v>
      </c>
      <c r="C175" s="2">
        <v>45815</v>
      </c>
      <c r="D175" t="s">
        <v>266</v>
      </c>
      <c r="E175" s="4" t="str">
        <f>IFERROR(VLOOKUP(A175,Sheet2!A:B,2,),"Not in top 100")</f>
        <v>Not in top 100</v>
      </c>
    </row>
    <row r="176" spans="1:5" x14ac:dyDescent="0.3">
      <c r="A176" t="s">
        <v>214</v>
      </c>
      <c r="B176" s="1">
        <v>265837</v>
      </c>
      <c r="C176" s="2">
        <v>45814</v>
      </c>
      <c r="D176" t="s">
        <v>261</v>
      </c>
      <c r="E176" s="4" t="str">
        <f>IFERROR(VLOOKUP(A176,Sheet2!A:B,2,),"Not in top 100")</f>
        <v>Not in top 100</v>
      </c>
    </row>
    <row r="177" spans="1:5" x14ac:dyDescent="0.3">
      <c r="A177" t="s">
        <v>215</v>
      </c>
      <c r="B177" s="1">
        <v>258252</v>
      </c>
      <c r="C177" s="2">
        <v>45788</v>
      </c>
      <c r="D177" t="s">
        <v>258</v>
      </c>
      <c r="E177" s="4" t="str">
        <f>IFERROR(VLOOKUP(A177,Sheet2!A:B,2,),"Not in top 100")</f>
        <v>Not in top 100</v>
      </c>
    </row>
    <row r="178" spans="1:5" x14ac:dyDescent="0.3">
      <c r="A178" t="s">
        <v>216</v>
      </c>
      <c r="B178" s="1">
        <v>256136</v>
      </c>
      <c r="C178" s="2">
        <v>45779</v>
      </c>
      <c r="D178" t="s">
        <v>294</v>
      </c>
      <c r="E178" s="4" t="str">
        <f>IFERROR(VLOOKUP(A178,Sheet2!A:B,2,),"Not in top 100")</f>
        <v>Not in top 100</v>
      </c>
    </row>
    <row r="179" spans="1:5" x14ac:dyDescent="0.3">
      <c r="A179" t="s">
        <v>217</v>
      </c>
      <c r="B179" s="1">
        <v>245265</v>
      </c>
      <c r="C179" s="2">
        <v>45865</v>
      </c>
      <c r="D179" t="s">
        <v>208</v>
      </c>
      <c r="E179" s="4" t="str">
        <f>IFERROR(VLOOKUP(A179,Sheet2!A:B,2,),"Not in top 100")</f>
        <v>Not in top 100</v>
      </c>
    </row>
    <row r="180" spans="1:5" x14ac:dyDescent="0.3">
      <c r="A180" t="s">
        <v>218</v>
      </c>
      <c r="B180" s="1">
        <v>230515</v>
      </c>
      <c r="C180" s="2">
        <v>45670</v>
      </c>
      <c r="D180" t="s">
        <v>266</v>
      </c>
      <c r="E180" s="4" t="str">
        <f>IFERROR(VLOOKUP(A180,Sheet2!A:B,2,),"Not in top 100")</f>
        <v>Not in top 100</v>
      </c>
    </row>
    <row r="181" spans="1:5" x14ac:dyDescent="0.3">
      <c r="A181" t="s">
        <v>219</v>
      </c>
      <c r="B181" s="1">
        <v>223208</v>
      </c>
      <c r="C181" s="2">
        <v>45877</v>
      </c>
      <c r="D181" t="s">
        <v>269</v>
      </c>
      <c r="E181" s="4" t="str">
        <f>IFERROR(VLOOKUP(A181,Sheet2!A:B,2,),"Not in top 100")</f>
        <v>Not in top 100</v>
      </c>
    </row>
    <row r="182" spans="1:5" x14ac:dyDescent="0.3">
      <c r="A182" t="s">
        <v>220</v>
      </c>
      <c r="B182" s="1">
        <v>222775</v>
      </c>
      <c r="C182" s="2">
        <v>45681</v>
      </c>
      <c r="D182" t="s">
        <v>295</v>
      </c>
      <c r="E182" s="4" t="str">
        <f>IFERROR(VLOOKUP(A182,Sheet2!A:B,2,),"Not in top 100")</f>
        <v>Not in top 100</v>
      </c>
    </row>
    <row r="183" spans="1:5" x14ac:dyDescent="0.3">
      <c r="A183" t="s">
        <v>221</v>
      </c>
      <c r="B183" s="1">
        <v>220315</v>
      </c>
      <c r="C183" s="2">
        <v>45813</v>
      </c>
      <c r="D183" t="s">
        <v>284</v>
      </c>
      <c r="E183" s="4" t="str">
        <f>IFERROR(VLOOKUP(A183,Sheet2!A:B,2,),"Not in top 100")</f>
        <v>Not in top 100</v>
      </c>
    </row>
    <row r="184" spans="1:5" x14ac:dyDescent="0.3">
      <c r="A184" t="s">
        <v>222</v>
      </c>
      <c r="B184" s="1">
        <v>220000</v>
      </c>
      <c r="C184" s="2">
        <v>45835</v>
      </c>
      <c r="D184" t="s">
        <v>208</v>
      </c>
      <c r="E184" s="4" t="str">
        <f>IFERROR(VLOOKUP(A184,Sheet2!A:B,2,),"Not in top 100")</f>
        <v>Not in top 100</v>
      </c>
    </row>
    <row r="185" spans="1:5" x14ac:dyDescent="0.3">
      <c r="A185" t="s">
        <v>223</v>
      </c>
      <c r="B185" s="1">
        <v>217255</v>
      </c>
      <c r="C185" s="2">
        <v>45772</v>
      </c>
      <c r="D185" t="s">
        <v>243</v>
      </c>
      <c r="E185" s="4" t="str">
        <f>IFERROR(VLOOKUP(A185,Sheet2!A:B,2,),"Not in top 100")</f>
        <v>Not in top 100</v>
      </c>
    </row>
    <row r="186" spans="1:5" x14ac:dyDescent="0.3">
      <c r="A186" t="s">
        <v>224</v>
      </c>
      <c r="B186" s="1">
        <v>215249</v>
      </c>
      <c r="C186" s="2">
        <v>45702</v>
      </c>
      <c r="D186" t="s">
        <v>282</v>
      </c>
      <c r="E186" s="4" t="str">
        <f>IFERROR(VLOOKUP(A186,Sheet2!A:B,2,),"Not in top 100")</f>
        <v>Not in top 100</v>
      </c>
    </row>
    <row r="187" spans="1:5" x14ac:dyDescent="0.3">
      <c r="A187" t="s">
        <v>225</v>
      </c>
      <c r="B187" s="1">
        <v>213795</v>
      </c>
      <c r="C187" s="2">
        <v>45807</v>
      </c>
      <c r="D187" t="s">
        <v>264</v>
      </c>
      <c r="E187" s="4" t="str">
        <f>IFERROR(VLOOKUP(A187,Sheet2!A:B,2,),"Not in top 100")</f>
        <v>Not in top 100</v>
      </c>
    </row>
    <row r="188" spans="1:5" x14ac:dyDescent="0.3">
      <c r="A188" t="s">
        <v>226</v>
      </c>
      <c r="B188" s="1">
        <v>212706</v>
      </c>
      <c r="C188" s="2">
        <v>45849</v>
      </c>
      <c r="D188" t="s">
        <v>264</v>
      </c>
      <c r="E188" s="4" t="str">
        <f>IFERROR(VLOOKUP(A188,Sheet2!A:B,2,),"Not in top 100")</f>
        <v>Not in top 100</v>
      </c>
    </row>
    <row r="189" spans="1:5" x14ac:dyDescent="0.3">
      <c r="A189" t="s">
        <v>227</v>
      </c>
      <c r="B189" s="1">
        <v>200679</v>
      </c>
      <c r="C189" s="2">
        <v>45667</v>
      </c>
      <c r="D189" t="s">
        <v>296</v>
      </c>
      <c r="E189" s="4" t="str">
        <f>IFERROR(VLOOKUP(A189,Sheet2!A:B,2,),"Not in top 100")</f>
        <v>Not in top 100</v>
      </c>
    </row>
    <row r="190" spans="1:5" x14ac:dyDescent="0.3">
      <c r="A190" t="s">
        <v>228</v>
      </c>
      <c r="B190" s="1">
        <v>196559</v>
      </c>
      <c r="C190" s="2">
        <v>45821</v>
      </c>
      <c r="D190" t="s">
        <v>297</v>
      </c>
      <c r="E190" s="4" t="str">
        <f>IFERROR(VLOOKUP(A190,Sheet2!A:B,2,),"Not in top 100")</f>
        <v>Not in top 100</v>
      </c>
    </row>
    <row r="191" spans="1:5" x14ac:dyDescent="0.3">
      <c r="A191" t="s">
        <v>229</v>
      </c>
      <c r="B191" s="1">
        <v>192223</v>
      </c>
      <c r="C191" s="2">
        <v>45681</v>
      </c>
      <c r="D191" t="s">
        <v>264</v>
      </c>
      <c r="E191" s="4" t="str">
        <f>IFERROR(VLOOKUP(A191,Sheet2!A:B,2,),"Not in top 100")</f>
        <v>Not in top 100</v>
      </c>
    </row>
    <row r="192" spans="1:5" x14ac:dyDescent="0.3">
      <c r="A192" t="s">
        <v>230</v>
      </c>
      <c r="B192" s="1">
        <v>188000</v>
      </c>
      <c r="C192" s="2">
        <v>45786</v>
      </c>
      <c r="D192" t="s">
        <v>298</v>
      </c>
      <c r="E192" s="4" t="str">
        <f>IFERROR(VLOOKUP(A192,Sheet2!A:B,2,),"Not in top 100")</f>
        <v>Not in top 100</v>
      </c>
    </row>
    <row r="193" spans="1:5" x14ac:dyDescent="0.3">
      <c r="A193" t="s">
        <v>231</v>
      </c>
      <c r="B193" s="1">
        <v>186892</v>
      </c>
      <c r="C193" s="2">
        <v>45709</v>
      </c>
      <c r="D193" t="s">
        <v>294</v>
      </c>
      <c r="E193" s="4" t="str">
        <f>IFERROR(VLOOKUP(A193,Sheet2!A:B,2,),"Not in top 100")</f>
        <v>Not in top 100</v>
      </c>
    </row>
    <row r="194" spans="1:5" x14ac:dyDescent="0.3">
      <c r="A194" t="s">
        <v>232</v>
      </c>
      <c r="B194" s="1">
        <v>186200</v>
      </c>
      <c r="C194" s="2">
        <v>45874</v>
      </c>
      <c r="D194" t="s">
        <v>272</v>
      </c>
      <c r="E194" s="4" t="str">
        <f>IFERROR(VLOOKUP(A194,Sheet2!A:B,2,),"Not in top 100")</f>
        <v>Not in top 100</v>
      </c>
    </row>
    <row r="195" spans="1:5" x14ac:dyDescent="0.3">
      <c r="A195" t="s">
        <v>179</v>
      </c>
      <c r="B195" s="1">
        <v>181451</v>
      </c>
      <c r="C195" s="2">
        <v>45737</v>
      </c>
      <c r="D195" t="s">
        <v>299</v>
      </c>
      <c r="E195" s="4">
        <f>IFERROR(VLOOKUP(A195,Sheet2!A:B,2,),"Not in top 100")</f>
        <v>0.95</v>
      </c>
    </row>
    <row r="196" spans="1:5" x14ac:dyDescent="0.3">
      <c r="A196" t="s">
        <v>233</v>
      </c>
      <c r="B196" s="1">
        <v>180426</v>
      </c>
      <c r="C196" s="2">
        <v>45716</v>
      </c>
      <c r="D196" t="s">
        <v>294</v>
      </c>
      <c r="E196" s="4" t="str">
        <f>IFERROR(VLOOKUP(A196,Sheet2!A:B,2,),"Not in top 100")</f>
        <v>Not in top 100</v>
      </c>
    </row>
    <row r="197" spans="1:5" x14ac:dyDescent="0.3">
      <c r="A197" t="s">
        <v>234</v>
      </c>
      <c r="B197" s="1">
        <v>179177</v>
      </c>
      <c r="C197" s="2">
        <v>45800</v>
      </c>
      <c r="D197" t="s">
        <v>300</v>
      </c>
      <c r="E197" s="4" t="str">
        <f>IFERROR(VLOOKUP(A197,Sheet2!A:B,2,),"Not in top 100")</f>
        <v>Not in top 100</v>
      </c>
    </row>
    <row r="198" spans="1:5" x14ac:dyDescent="0.3">
      <c r="A198" t="s">
        <v>235</v>
      </c>
      <c r="B198" s="1">
        <v>176912</v>
      </c>
      <c r="C198" s="2">
        <v>45828</v>
      </c>
      <c r="D198" t="s">
        <v>301</v>
      </c>
      <c r="E198" s="4" t="str">
        <f>IFERROR(VLOOKUP(A198,Sheet2!A:B,2,),"Not in top 100")</f>
        <v>Not in top 100</v>
      </c>
    </row>
    <row r="199" spans="1:5" x14ac:dyDescent="0.3">
      <c r="A199" t="s">
        <v>236</v>
      </c>
      <c r="B199" s="1">
        <v>174932</v>
      </c>
      <c r="C199" s="2">
        <v>45716</v>
      </c>
      <c r="D199" t="s">
        <v>302</v>
      </c>
      <c r="E199" s="4" t="str">
        <f>IFERROR(VLOOKUP(A199,Sheet2!A:B,2,),"Not in top 100")</f>
        <v>Not in top 100</v>
      </c>
    </row>
    <row r="200" spans="1:5" x14ac:dyDescent="0.3">
      <c r="A200" t="s">
        <v>237</v>
      </c>
      <c r="B200" s="1">
        <v>172187</v>
      </c>
      <c r="C200" s="2">
        <v>45863</v>
      </c>
      <c r="D200" t="s">
        <v>303</v>
      </c>
      <c r="E200" s="4" t="str">
        <f>IFERROR(VLOOKUP(A200,Sheet2!A:B,2,),"Not in top 100")</f>
        <v>Not in top 100</v>
      </c>
    </row>
    <row r="201" spans="1:5" x14ac:dyDescent="0.3">
      <c r="A201" t="s">
        <v>238</v>
      </c>
      <c r="B201" s="1">
        <v>170436</v>
      </c>
      <c r="C201" s="2">
        <v>45786</v>
      </c>
      <c r="D201" t="s">
        <v>276</v>
      </c>
      <c r="E201" s="4" t="str">
        <f>IFERROR(VLOOKUP(A201,Sheet2!A:B,2,),"Not in top 100")</f>
        <v>Not in top 100</v>
      </c>
    </row>
  </sheetData>
  <sortState xmlns:xlrd2="http://schemas.microsoft.com/office/spreadsheetml/2017/richdata2" ref="A2:E202">
    <sortCondition descending="1" ref="B2:B202"/>
  </sortState>
  <conditionalFormatting sqref="E1:E1048576">
    <cfRule type="colorScale" priority="5">
      <colorScale>
        <cfvo type="min"/>
        <cfvo type="max"/>
        <color rgb="FF63BE7B"/>
        <color rgb="FFFFEF9C"/>
      </colorScale>
    </cfRule>
    <cfRule type="top10" dxfId="1" priority="6" percent="1" bottom="1" rank="10"/>
    <cfRule type="top10" dxfId="0" priority="7" percent="1" rank="10"/>
  </conditionalFormatting>
  <conditionalFormatting sqref="B1:B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">
      <colorScale>
        <cfvo type="min"/>
        <cfvo type="max"/>
        <color rgb="FFFF7128"/>
        <color rgb="FF00B050"/>
      </colorScale>
    </cfRule>
  </conditionalFormatting>
  <dataValidations count="2">
    <dataValidation type="list" allowBlank="1" showInputMessage="1" showErrorMessage="1" sqref="G2" xr:uid="{1A62FFA0-E9A6-4859-B972-2EC612699A89}">
      <formula1>$A$2:$A$201</formula1>
    </dataValidation>
    <dataValidation type="list" allowBlank="1" showInputMessage="1" showErrorMessage="1" sqref="G8" xr:uid="{5F4C430E-2F34-4D79-8DEF-3A054AE3D4EC}">
      <formula1>$D$3:$D$201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42B2A-4B05-48BE-96FE-52D598B3CA96}">
  <sheetPr codeName="Sheet2"/>
  <dimension ref="A1:B96"/>
  <sheetViews>
    <sheetView workbookViewId="0">
      <selection sqref="A1:XFD1"/>
    </sheetView>
  </sheetViews>
  <sheetFormatPr defaultRowHeight="14.4" x14ac:dyDescent="0.3"/>
  <cols>
    <col min="2" max="2" width="16.88671875" bestFit="1" customWidth="1"/>
  </cols>
  <sheetData>
    <row r="1" spans="1:2" x14ac:dyDescent="0.3">
      <c r="A1" t="s">
        <v>0</v>
      </c>
      <c r="B1" t="s">
        <v>168</v>
      </c>
    </row>
    <row r="2" spans="1:2" x14ac:dyDescent="0.3">
      <c r="A2" t="s">
        <v>169</v>
      </c>
      <c r="B2" s="3">
        <v>1</v>
      </c>
    </row>
    <row r="3" spans="1:2" x14ac:dyDescent="0.3">
      <c r="A3" t="s">
        <v>146</v>
      </c>
      <c r="B3" s="3">
        <v>1</v>
      </c>
    </row>
    <row r="4" spans="1:2" x14ac:dyDescent="0.3">
      <c r="A4" t="s">
        <v>170</v>
      </c>
      <c r="B4" s="3">
        <v>1</v>
      </c>
    </row>
    <row r="5" spans="1:2" x14ac:dyDescent="0.3">
      <c r="A5" t="s">
        <v>167</v>
      </c>
      <c r="B5" s="3">
        <v>0.99</v>
      </c>
    </row>
    <row r="6" spans="1:2" x14ac:dyDescent="0.3">
      <c r="A6" t="s">
        <v>171</v>
      </c>
      <c r="B6" s="3">
        <v>0.98</v>
      </c>
    </row>
    <row r="7" spans="1:2" x14ac:dyDescent="0.3">
      <c r="A7" t="s">
        <v>172</v>
      </c>
      <c r="B7" s="3">
        <v>0.98</v>
      </c>
    </row>
    <row r="8" spans="1:2" x14ac:dyDescent="0.3">
      <c r="A8" t="s">
        <v>173</v>
      </c>
      <c r="B8" s="3">
        <v>0.98</v>
      </c>
    </row>
    <row r="9" spans="1:2" x14ac:dyDescent="0.3">
      <c r="A9" t="s">
        <v>6</v>
      </c>
      <c r="B9" s="3">
        <v>0.97</v>
      </c>
    </row>
    <row r="10" spans="1:2" x14ac:dyDescent="0.3">
      <c r="A10" t="s">
        <v>69</v>
      </c>
      <c r="B10" s="3">
        <v>0.97</v>
      </c>
    </row>
    <row r="11" spans="1:2" x14ac:dyDescent="0.3">
      <c r="A11" t="s">
        <v>106</v>
      </c>
      <c r="B11" s="3">
        <v>0.97</v>
      </c>
    </row>
    <row r="12" spans="1:2" x14ac:dyDescent="0.3">
      <c r="A12" t="s">
        <v>174</v>
      </c>
      <c r="B12" s="3">
        <v>0.97</v>
      </c>
    </row>
    <row r="13" spans="1:2" x14ac:dyDescent="0.3">
      <c r="A13" t="s">
        <v>175</v>
      </c>
      <c r="B13" s="3">
        <v>0.97</v>
      </c>
    </row>
    <row r="14" spans="1:2" x14ac:dyDescent="0.3">
      <c r="A14" t="s">
        <v>176</v>
      </c>
      <c r="B14" s="3">
        <v>0.97</v>
      </c>
    </row>
    <row r="15" spans="1:2" x14ac:dyDescent="0.3">
      <c r="A15" t="s">
        <v>42</v>
      </c>
      <c r="B15" s="3">
        <v>0.96</v>
      </c>
    </row>
    <row r="16" spans="1:2" x14ac:dyDescent="0.3">
      <c r="A16" t="s">
        <v>91</v>
      </c>
      <c r="B16" s="3">
        <v>0.96</v>
      </c>
    </row>
    <row r="17" spans="1:2" x14ac:dyDescent="0.3">
      <c r="A17" t="s">
        <v>166</v>
      </c>
      <c r="B17" s="3">
        <v>0.96</v>
      </c>
    </row>
    <row r="18" spans="1:2" x14ac:dyDescent="0.3">
      <c r="A18" t="s">
        <v>124</v>
      </c>
      <c r="B18" s="3">
        <v>0.96</v>
      </c>
    </row>
    <row r="19" spans="1:2" x14ac:dyDescent="0.3">
      <c r="A19" t="s">
        <v>177</v>
      </c>
      <c r="B19" s="3">
        <v>0.96</v>
      </c>
    </row>
    <row r="20" spans="1:2" x14ac:dyDescent="0.3">
      <c r="A20" t="s">
        <v>26</v>
      </c>
      <c r="B20" s="3">
        <v>0.94</v>
      </c>
    </row>
    <row r="21" spans="1:2" x14ac:dyDescent="0.3">
      <c r="A21" t="s">
        <v>178</v>
      </c>
      <c r="B21" s="3">
        <v>0.95</v>
      </c>
    </row>
    <row r="22" spans="1:2" x14ac:dyDescent="0.3">
      <c r="A22" t="s">
        <v>179</v>
      </c>
      <c r="B22" s="3">
        <v>0.95</v>
      </c>
    </row>
    <row r="23" spans="1:2" x14ac:dyDescent="0.3">
      <c r="A23" t="s">
        <v>111</v>
      </c>
      <c r="B23" s="3">
        <v>0.95</v>
      </c>
    </row>
    <row r="24" spans="1:2" x14ac:dyDescent="0.3">
      <c r="A24" t="s">
        <v>161</v>
      </c>
      <c r="B24" s="3">
        <v>0.95</v>
      </c>
    </row>
    <row r="25" spans="1:2" x14ac:dyDescent="0.3">
      <c r="A25" t="s">
        <v>180</v>
      </c>
      <c r="B25" s="3">
        <v>0.95</v>
      </c>
    </row>
    <row r="26" spans="1:2" x14ac:dyDescent="0.3">
      <c r="A26" t="s">
        <v>181</v>
      </c>
      <c r="B26" s="3">
        <v>0.95</v>
      </c>
    </row>
    <row r="27" spans="1:2" x14ac:dyDescent="0.3">
      <c r="A27" t="s">
        <v>22</v>
      </c>
      <c r="B27" s="3">
        <v>0.94</v>
      </c>
    </row>
    <row r="28" spans="1:2" x14ac:dyDescent="0.3">
      <c r="A28" t="s">
        <v>182</v>
      </c>
      <c r="B28" s="3">
        <v>0.94</v>
      </c>
    </row>
    <row r="29" spans="1:2" x14ac:dyDescent="0.3">
      <c r="A29" t="s">
        <v>183</v>
      </c>
      <c r="B29" s="3">
        <v>0.94</v>
      </c>
    </row>
    <row r="30" spans="1:2" x14ac:dyDescent="0.3">
      <c r="A30" t="s">
        <v>184</v>
      </c>
      <c r="B30" s="3">
        <v>0.94</v>
      </c>
    </row>
    <row r="31" spans="1:2" x14ac:dyDescent="0.3">
      <c r="A31" t="s">
        <v>46</v>
      </c>
      <c r="B31" s="3">
        <v>0.93</v>
      </c>
    </row>
    <row r="32" spans="1:2" x14ac:dyDescent="0.3">
      <c r="A32" t="s">
        <v>39</v>
      </c>
      <c r="B32" s="3">
        <v>0.93</v>
      </c>
    </row>
    <row r="33" spans="1:2" x14ac:dyDescent="0.3">
      <c r="A33" t="s">
        <v>185</v>
      </c>
      <c r="B33" s="3">
        <v>0.93</v>
      </c>
    </row>
    <row r="34" spans="1:2" x14ac:dyDescent="0.3">
      <c r="A34" t="s">
        <v>24</v>
      </c>
      <c r="B34" s="3">
        <v>0.93</v>
      </c>
    </row>
    <row r="35" spans="1:2" x14ac:dyDescent="0.3">
      <c r="A35" t="s">
        <v>186</v>
      </c>
      <c r="B35" s="3">
        <v>0.93</v>
      </c>
    </row>
    <row r="36" spans="1:2" x14ac:dyDescent="0.3">
      <c r="A36" t="s">
        <v>187</v>
      </c>
      <c r="B36" s="3">
        <v>0.93</v>
      </c>
    </row>
    <row r="37" spans="1:2" x14ac:dyDescent="0.3">
      <c r="A37" t="s">
        <v>142</v>
      </c>
      <c r="B37" s="3">
        <v>0.92</v>
      </c>
    </row>
    <row r="38" spans="1:2" x14ac:dyDescent="0.3">
      <c r="A38" t="s">
        <v>141</v>
      </c>
      <c r="B38" s="3">
        <v>0.91</v>
      </c>
    </row>
    <row r="39" spans="1:2" x14ac:dyDescent="0.3">
      <c r="A39" t="s">
        <v>53</v>
      </c>
      <c r="B39" s="3">
        <v>0.9</v>
      </c>
    </row>
    <row r="40" spans="1:2" x14ac:dyDescent="0.3">
      <c r="A40" t="s">
        <v>131</v>
      </c>
      <c r="B40" s="3">
        <v>0.9</v>
      </c>
    </row>
    <row r="41" spans="1:2" x14ac:dyDescent="0.3">
      <c r="A41" t="s">
        <v>109</v>
      </c>
      <c r="B41" s="3">
        <v>0.9</v>
      </c>
    </row>
    <row r="42" spans="1:2" x14ac:dyDescent="0.3">
      <c r="A42" t="s">
        <v>188</v>
      </c>
      <c r="B42" s="3">
        <v>0.9</v>
      </c>
    </row>
    <row r="43" spans="1:2" x14ac:dyDescent="0.3">
      <c r="A43" t="s">
        <v>189</v>
      </c>
      <c r="B43" s="3">
        <v>0.9</v>
      </c>
    </row>
    <row r="44" spans="1:2" x14ac:dyDescent="0.3">
      <c r="A44" t="s">
        <v>33</v>
      </c>
      <c r="B44" s="3">
        <v>0.88</v>
      </c>
    </row>
    <row r="45" spans="1:2" x14ac:dyDescent="0.3">
      <c r="A45" t="s">
        <v>52</v>
      </c>
      <c r="B45" s="3">
        <v>0.89</v>
      </c>
    </row>
    <row r="46" spans="1:2" x14ac:dyDescent="0.3">
      <c r="A46" t="s">
        <v>190</v>
      </c>
      <c r="B46" s="3">
        <v>0.89</v>
      </c>
    </row>
    <row r="47" spans="1:2" x14ac:dyDescent="0.3">
      <c r="A47" t="s">
        <v>163</v>
      </c>
      <c r="B47" s="3">
        <v>0.89</v>
      </c>
    </row>
    <row r="48" spans="1:2" x14ac:dyDescent="0.3">
      <c r="A48" t="s">
        <v>17</v>
      </c>
      <c r="B48" s="3">
        <v>0.88</v>
      </c>
    </row>
    <row r="49" spans="1:2" x14ac:dyDescent="0.3">
      <c r="A49" t="s">
        <v>11</v>
      </c>
      <c r="B49" s="3">
        <v>0.88</v>
      </c>
    </row>
    <row r="50" spans="1:2" x14ac:dyDescent="0.3">
      <c r="A50" t="s">
        <v>64</v>
      </c>
      <c r="B50" s="3">
        <v>0.88</v>
      </c>
    </row>
    <row r="51" spans="1:2" x14ac:dyDescent="0.3">
      <c r="A51" t="s">
        <v>55</v>
      </c>
      <c r="B51" s="3">
        <v>0.88</v>
      </c>
    </row>
    <row r="52" spans="1:2" x14ac:dyDescent="0.3">
      <c r="A52" t="s">
        <v>191</v>
      </c>
      <c r="B52" s="3">
        <v>0.88</v>
      </c>
    </row>
    <row r="53" spans="1:2" x14ac:dyDescent="0.3">
      <c r="A53" t="s">
        <v>25</v>
      </c>
      <c r="B53" s="3">
        <v>0.87</v>
      </c>
    </row>
    <row r="54" spans="1:2" x14ac:dyDescent="0.3">
      <c r="A54" t="s">
        <v>8</v>
      </c>
      <c r="B54" s="3">
        <v>0.86</v>
      </c>
    </row>
    <row r="55" spans="1:2" x14ac:dyDescent="0.3">
      <c r="A55" t="s">
        <v>94</v>
      </c>
      <c r="B55" s="3">
        <v>0.86</v>
      </c>
    </row>
    <row r="56" spans="1:2" x14ac:dyDescent="0.3">
      <c r="A56" t="s">
        <v>87</v>
      </c>
      <c r="B56" s="3">
        <v>0.86</v>
      </c>
    </row>
    <row r="57" spans="1:2" x14ac:dyDescent="0.3">
      <c r="A57" t="s">
        <v>192</v>
      </c>
      <c r="B57" s="3">
        <v>0.85</v>
      </c>
    </row>
    <row r="58" spans="1:2" x14ac:dyDescent="0.3">
      <c r="A58" t="s">
        <v>62</v>
      </c>
      <c r="B58" s="3">
        <v>0.85</v>
      </c>
    </row>
    <row r="59" spans="1:2" x14ac:dyDescent="0.3">
      <c r="A59" t="s">
        <v>193</v>
      </c>
      <c r="B59" s="3">
        <v>0.85</v>
      </c>
    </row>
    <row r="60" spans="1:2" x14ac:dyDescent="0.3">
      <c r="A60" t="s">
        <v>110</v>
      </c>
      <c r="B60" s="3">
        <v>0.84</v>
      </c>
    </row>
    <row r="61" spans="1:2" x14ac:dyDescent="0.3">
      <c r="A61" t="s">
        <v>136</v>
      </c>
      <c r="B61" s="3">
        <v>0.84</v>
      </c>
    </row>
    <row r="62" spans="1:2" x14ac:dyDescent="0.3">
      <c r="A62" t="s">
        <v>4</v>
      </c>
      <c r="B62" s="3">
        <v>0.83</v>
      </c>
    </row>
    <row r="63" spans="1:2" x14ac:dyDescent="0.3">
      <c r="A63" t="s">
        <v>54</v>
      </c>
      <c r="B63" s="3">
        <v>0.83</v>
      </c>
    </row>
    <row r="64" spans="1:2" x14ac:dyDescent="0.3">
      <c r="A64" t="s">
        <v>16</v>
      </c>
      <c r="B64" s="3">
        <v>0.83</v>
      </c>
    </row>
    <row r="65" spans="1:2" x14ac:dyDescent="0.3">
      <c r="A65" t="s">
        <v>76</v>
      </c>
      <c r="B65" s="3">
        <v>0.83</v>
      </c>
    </row>
    <row r="66" spans="1:2" x14ac:dyDescent="0.3">
      <c r="A66" t="s">
        <v>98</v>
      </c>
      <c r="B66" s="3">
        <v>0.83</v>
      </c>
    </row>
    <row r="67" spans="1:2" x14ac:dyDescent="0.3">
      <c r="A67" t="s">
        <v>194</v>
      </c>
      <c r="B67" s="3">
        <v>0.83</v>
      </c>
    </row>
    <row r="68" spans="1:2" x14ac:dyDescent="0.3">
      <c r="A68" t="s">
        <v>195</v>
      </c>
      <c r="B68" s="3">
        <v>0.82</v>
      </c>
    </row>
    <row r="69" spans="1:2" x14ac:dyDescent="0.3">
      <c r="A69" t="s">
        <v>196</v>
      </c>
      <c r="B69" s="3">
        <v>0.82</v>
      </c>
    </row>
    <row r="70" spans="1:2" x14ac:dyDescent="0.3">
      <c r="A70" t="s">
        <v>197</v>
      </c>
      <c r="B70" s="3">
        <v>0.8</v>
      </c>
    </row>
    <row r="71" spans="1:2" x14ac:dyDescent="0.3">
      <c r="A71" t="s">
        <v>14</v>
      </c>
      <c r="B71" s="3">
        <v>0.81</v>
      </c>
    </row>
    <row r="72" spans="1:2" x14ac:dyDescent="0.3">
      <c r="A72" t="s">
        <v>198</v>
      </c>
      <c r="B72" s="3">
        <v>0.81</v>
      </c>
    </row>
    <row r="73" spans="1:2" x14ac:dyDescent="0.3">
      <c r="A73" t="s">
        <v>10</v>
      </c>
      <c r="B73" s="3">
        <v>0.8</v>
      </c>
    </row>
    <row r="74" spans="1:2" x14ac:dyDescent="0.3">
      <c r="A74" t="s">
        <v>66</v>
      </c>
      <c r="B74" s="3">
        <v>0.81</v>
      </c>
    </row>
    <row r="75" spans="1:2" x14ac:dyDescent="0.3">
      <c r="A75" t="s">
        <v>50</v>
      </c>
      <c r="B75" s="3">
        <v>0.8</v>
      </c>
    </row>
    <row r="76" spans="1:2" x14ac:dyDescent="0.3">
      <c r="A76" t="s">
        <v>199</v>
      </c>
      <c r="B76" s="3">
        <v>0.8</v>
      </c>
    </row>
    <row r="77" spans="1:2" x14ac:dyDescent="0.3">
      <c r="A77" t="s">
        <v>30</v>
      </c>
      <c r="B77" s="3">
        <v>0.79</v>
      </c>
    </row>
    <row r="78" spans="1:2" x14ac:dyDescent="0.3">
      <c r="A78" t="s">
        <v>34</v>
      </c>
      <c r="B78" s="3">
        <v>0.78</v>
      </c>
    </row>
    <row r="79" spans="1:2" x14ac:dyDescent="0.3">
      <c r="A79" t="s">
        <v>44</v>
      </c>
      <c r="B79" s="3">
        <v>0.78</v>
      </c>
    </row>
    <row r="80" spans="1:2" x14ac:dyDescent="0.3">
      <c r="A80" t="s">
        <v>23</v>
      </c>
      <c r="B80" s="3">
        <v>0.77</v>
      </c>
    </row>
    <row r="81" spans="1:2" x14ac:dyDescent="0.3">
      <c r="A81" t="s">
        <v>51</v>
      </c>
      <c r="B81" s="3">
        <v>0.78</v>
      </c>
    </row>
    <row r="82" spans="1:2" x14ac:dyDescent="0.3">
      <c r="A82" t="s">
        <v>81</v>
      </c>
      <c r="B82" s="3">
        <v>0.77</v>
      </c>
    </row>
    <row r="83" spans="1:2" x14ac:dyDescent="0.3">
      <c r="A83" t="s">
        <v>7</v>
      </c>
      <c r="B83" s="3">
        <v>0.76</v>
      </c>
    </row>
    <row r="84" spans="1:2" x14ac:dyDescent="0.3">
      <c r="A84" t="s">
        <v>18</v>
      </c>
      <c r="B84" s="3">
        <v>0.76</v>
      </c>
    </row>
    <row r="85" spans="1:2" x14ac:dyDescent="0.3">
      <c r="A85" t="s">
        <v>90</v>
      </c>
      <c r="B85" s="3">
        <v>0.76</v>
      </c>
    </row>
    <row r="86" spans="1:2" x14ac:dyDescent="0.3">
      <c r="A86" t="s">
        <v>80</v>
      </c>
      <c r="B86" s="3">
        <v>0.76</v>
      </c>
    </row>
    <row r="87" spans="1:2" x14ac:dyDescent="0.3">
      <c r="A87" t="s">
        <v>200</v>
      </c>
      <c r="B87" s="3">
        <v>0.76</v>
      </c>
    </row>
    <row r="88" spans="1:2" x14ac:dyDescent="0.3">
      <c r="A88" t="s">
        <v>201</v>
      </c>
      <c r="B88" s="3">
        <v>0.76</v>
      </c>
    </row>
    <row r="89" spans="1:2" x14ac:dyDescent="0.3">
      <c r="A89" t="s">
        <v>132</v>
      </c>
      <c r="B89" s="3">
        <v>0.75</v>
      </c>
    </row>
    <row r="90" spans="1:2" x14ac:dyDescent="0.3">
      <c r="A90" t="s">
        <v>202</v>
      </c>
      <c r="B90" s="3">
        <v>0.75</v>
      </c>
    </row>
    <row r="91" spans="1:2" x14ac:dyDescent="0.3">
      <c r="A91" t="s">
        <v>203</v>
      </c>
      <c r="B91" s="3">
        <v>0.75</v>
      </c>
    </row>
    <row r="92" spans="1:2" x14ac:dyDescent="0.3">
      <c r="A92" t="s">
        <v>204</v>
      </c>
      <c r="B92" s="3">
        <v>0.75</v>
      </c>
    </row>
    <row r="93" spans="1:2" x14ac:dyDescent="0.3">
      <c r="A93" t="s">
        <v>205</v>
      </c>
      <c r="B93" s="3">
        <v>0.74</v>
      </c>
    </row>
    <row r="94" spans="1:2" x14ac:dyDescent="0.3">
      <c r="A94" t="s">
        <v>38</v>
      </c>
      <c r="B94" s="3">
        <v>0.73</v>
      </c>
    </row>
    <row r="95" spans="1:2" x14ac:dyDescent="0.3">
      <c r="A95" t="s">
        <v>63</v>
      </c>
      <c r="B95" s="3">
        <v>0.73</v>
      </c>
    </row>
    <row r="96" spans="1:2" x14ac:dyDescent="0.3">
      <c r="A96" t="s">
        <v>140</v>
      </c>
      <c r="B96" s="3">
        <v>0.73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Rhine</dc:creator>
  <cp:lastModifiedBy>Jonathan Rhine</cp:lastModifiedBy>
  <dcterms:created xsi:type="dcterms:W3CDTF">2025-08-13T02:45:27Z</dcterms:created>
  <dcterms:modified xsi:type="dcterms:W3CDTF">2025-08-15T07:55:39Z</dcterms:modified>
</cp:coreProperties>
</file>